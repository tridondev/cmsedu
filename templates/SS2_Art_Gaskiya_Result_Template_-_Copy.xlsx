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hp\Desktop\Gaskiya result\SSS 2\"/>
    </mc:Choice>
  </mc:AlternateContent>
  <xr:revisionPtr revIDLastSave="0" documentId="13_ncr:1_{CE4093C4-4459-4C15-A257-0364FC61E626}" xr6:coauthVersionLast="36" xr6:coauthVersionMax="36" xr10:uidLastSave="{00000000-0000-0000-0000-000000000000}"/>
  <bookViews>
    <workbookView xWindow="0" yWindow="0" windowWidth="20490" windowHeight="7125" xr2:uid="{00000000-000D-0000-FFFF-FFFF00000000}"/>
  </bookViews>
  <sheets>
    <sheet name="First Term" sheetId="4" r:id="rId1"/>
  </sheets>
  <definedNames>
    <definedName name="_xlnm.Print_Area" localSheetId="0">'First Term'!$A$1:$K$1149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4" l="1"/>
  <c r="J26" i="4"/>
  <c r="J27" i="4"/>
  <c r="J28" i="4"/>
  <c r="J20" i="4"/>
  <c r="J21" i="4"/>
  <c r="J22" i="4"/>
  <c r="J23" i="4"/>
  <c r="J24" i="4"/>
  <c r="J19" i="4"/>
  <c r="J81" i="4"/>
  <c r="J82" i="4"/>
  <c r="J83" i="4"/>
  <c r="J84" i="4"/>
  <c r="J85" i="4"/>
  <c r="J86" i="4"/>
  <c r="J87" i="4"/>
  <c r="J88" i="4"/>
  <c r="J89" i="4"/>
  <c r="J80" i="4"/>
  <c r="G1123" i="4" l="1"/>
  <c r="K1123" i="4" s="1"/>
  <c r="G1122" i="4"/>
  <c r="J1122" i="4" s="1"/>
  <c r="G1121" i="4"/>
  <c r="K1121" i="4" s="1"/>
  <c r="G1120" i="4"/>
  <c r="G1119" i="4"/>
  <c r="K1119" i="4" s="1"/>
  <c r="G1118" i="4"/>
  <c r="K1118" i="4" s="1"/>
  <c r="G1117" i="4"/>
  <c r="K1117" i="4" s="1"/>
  <c r="G1116" i="4"/>
  <c r="J1116" i="4" s="1"/>
  <c r="G1115" i="4"/>
  <c r="J1115" i="4" s="1"/>
  <c r="G1114" i="4"/>
  <c r="J1114" i="4" s="1"/>
  <c r="G1113" i="4"/>
  <c r="K1113" i="4" s="1"/>
  <c r="G1112" i="4"/>
  <c r="G1111" i="4"/>
  <c r="K1111" i="4" s="1"/>
  <c r="G1110" i="4"/>
  <c r="J1110" i="4" s="1"/>
  <c r="G1109" i="4"/>
  <c r="K1109" i="4" s="1"/>
  <c r="G1108" i="4"/>
  <c r="J1108" i="4" s="1"/>
  <c r="G1107" i="4"/>
  <c r="G1063" i="4"/>
  <c r="K1063" i="4" s="1"/>
  <c r="G1062" i="4"/>
  <c r="G1061" i="4"/>
  <c r="K1061" i="4" s="1"/>
  <c r="G1060" i="4"/>
  <c r="K1060" i="4" s="1"/>
  <c r="G1059" i="4"/>
  <c r="J1059" i="4" s="1"/>
  <c r="G1058" i="4"/>
  <c r="J1058" i="4" s="1"/>
  <c r="G1057" i="4"/>
  <c r="J1057" i="4" s="1"/>
  <c r="G1056" i="4"/>
  <c r="J1056" i="4" s="1"/>
  <c r="G1055" i="4"/>
  <c r="K1055" i="4" s="1"/>
  <c r="G1054" i="4"/>
  <c r="G1053" i="4"/>
  <c r="K1053" i="4" s="1"/>
  <c r="G1052" i="4"/>
  <c r="K1052" i="4" s="1"/>
  <c r="G1051" i="4"/>
  <c r="J1051" i="4" s="1"/>
  <c r="G1050" i="4"/>
  <c r="J1050" i="4" s="1"/>
  <c r="G1049" i="4"/>
  <c r="J1049" i="4" s="1"/>
  <c r="G1048" i="4"/>
  <c r="J1048" i="4" s="1"/>
  <c r="G1047" i="4"/>
  <c r="G1003" i="4"/>
  <c r="K1003" i="4" s="1"/>
  <c r="G1002" i="4"/>
  <c r="J1002" i="4" s="1"/>
  <c r="G1001" i="4"/>
  <c r="K1001" i="4" s="1"/>
  <c r="G1000" i="4"/>
  <c r="J1000" i="4" s="1"/>
  <c r="G999" i="4"/>
  <c r="J999" i="4" s="1"/>
  <c r="G998" i="4"/>
  <c r="J998" i="4" s="1"/>
  <c r="G997" i="4"/>
  <c r="K997" i="4" s="1"/>
  <c r="G996" i="4"/>
  <c r="G995" i="4"/>
  <c r="K995" i="4" s="1"/>
  <c r="G994" i="4"/>
  <c r="J994" i="4" s="1"/>
  <c r="G993" i="4"/>
  <c r="K993" i="4" s="1"/>
  <c r="G992" i="4"/>
  <c r="J992" i="4" s="1"/>
  <c r="G991" i="4"/>
  <c r="J991" i="4" s="1"/>
  <c r="G990" i="4"/>
  <c r="J990" i="4" s="1"/>
  <c r="G989" i="4"/>
  <c r="K989" i="4" s="1"/>
  <c r="G988" i="4"/>
  <c r="G987" i="4"/>
  <c r="K987" i="4" s="1"/>
  <c r="G943" i="4"/>
  <c r="J943" i="4" s="1"/>
  <c r="G942" i="4"/>
  <c r="J942" i="4" s="1"/>
  <c r="G941" i="4"/>
  <c r="J941" i="4" s="1"/>
  <c r="G940" i="4"/>
  <c r="J940" i="4" s="1"/>
  <c r="G939" i="4"/>
  <c r="K939" i="4" s="1"/>
  <c r="G938" i="4"/>
  <c r="G937" i="4"/>
  <c r="K937" i="4" s="1"/>
  <c r="G936" i="4"/>
  <c r="K936" i="4" s="1"/>
  <c r="G935" i="4"/>
  <c r="J935" i="4" s="1"/>
  <c r="G934" i="4"/>
  <c r="J934" i="4" s="1"/>
  <c r="G933" i="4"/>
  <c r="J933" i="4" s="1"/>
  <c r="G932" i="4"/>
  <c r="J932" i="4" s="1"/>
  <c r="G931" i="4"/>
  <c r="K931" i="4" s="1"/>
  <c r="G930" i="4"/>
  <c r="G929" i="4"/>
  <c r="K929" i="4" s="1"/>
  <c r="G928" i="4"/>
  <c r="K928" i="4" s="1"/>
  <c r="G927" i="4"/>
  <c r="K927" i="4" s="1"/>
  <c r="G883" i="4"/>
  <c r="J883" i="4" s="1"/>
  <c r="G882" i="4"/>
  <c r="J882" i="4" s="1"/>
  <c r="G881" i="4"/>
  <c r="K881" i="4" s="1"/>
  <c r="G880" i="4"/>
  <c r="G879" i="4"/>
  <c r="K879" i="4" s="1"/>
  <c r="G878" i="4"/>
  <c r="J878" i="4" s="1"/>
  <c r="G877" i="4"/>
  <c r="K877" i="4" s="1"/>
  <c r="G876" i="4"/>
  <c r="J876" i="4" s="1"/>
  <c r="G875" i="4"/>
  <c r="J875" i="4" s="1"/>
  <c r="G874" i="4"/>
  <c r="J874" i="4" s="1"/>
  <c r="G873" i="4"/>
  <c r="K873" i="4" s="1"/>
  <c r="G872" i="4"/>
  <c r="G871" i="4"/>
  <c r="K871" i="4" s="1"/>
  <c r="G870" i="4"/>
  <c r="K870" i="4" s="1"/>
  <c r="G869" i="4"/>
  <c r="K869" i="4" s="1"/>
  <c r="G868" i="4"/>
  <c r="J868" i="4" s="1"/>
  <c r="G867" i="4"/>
  <c r="G823" i="4"/>
  <c r="K823" i="4" s="1"/>
  <c r="G822" i="4"/>
  <c r="G821" i="4"/>
  <c r="K821" i="4" s="1"/>
  <c r="G820" i="4"/>
  <c r="K820" i="4" s="1"/>
  <c r="G819" i="4"/>
  <c r="K819" i="4" s="1"/>
  <c r="G818" i="4"/>
  <c r="J818" i="4" s="1"/>
  <c r="G817" i="4"/>
  <c r="J817" i="4" s="1"/>
  <c r="G816" i="4"/>
  <c r="J816" i="4" s="1"/>
  <c r="G815" i="4"/>
  <c r="K815" i="4" s="1"/>
  <c r="G814" i="4"/>
  <c r="G813" i="4"/>
  <c r="K813" i="4" s="1"/>
  <c r="G812" i="4"/>
  <c r="K812" i="4" s="1"/>
  <c r="G811" i="4"/>
  <c r="K811" i="4" s="1"/>
  <c r="G810" i="4"/>
  <c r="J810" i="4" s="1"/>
  <c r="G809" i="4"/>
  <c r="J809" i="4" s="1"/>
  <c r="G808" i="4"/>
  <c r="J808" i="4" s="1"/>
  <c r="G807" i="4"/>
  <c r="G763" i="4"/>
  <c r="K763" i="4" s="1"/>
  <c r="G762" i="4"/>
  <c r="J762" i="4" s="1"/>
  <c r="G761" i="4"/>
  <c r="K761" i="4" s="1"/>
  <c r="G760" i="4"/>
  <c r="J760" i="4" s="1"/>
  <c r="G759" i="4"/>
  <c r="J759" i="4" s="1"/>
  <c r="G758" i="4"/>
  <c r="J758" i="4" s="1"/>
  <c r="G757" i="4"/>
  <c r="K757" i="4" s="1"/>
  <c r="G756" i="4"/>
  <c r="G755" i="4"/>
  <c r="K755" i="4" s="1"/>
  <c r="G754" i="4"/>
  <c r="J754" i="4" s="1"/>
  <c r="G753" i="4"/>
  <c r="K753" i="4" s="1"/>
  <c r="G752" i="4"/>
  <c r="J752" i="4" s="1"/>
  <c r="G751" i="4"/>
  <c r="J751" i="4" s="1"/>
  <c r="G750" i="4"/>
  <c r="J750" i="4" s="1"/>
  <c r="G749" i="4"/>
  <c r="K749" i="4" s="1"/>
  <c r="G748" i="4"/>
  <c r="G747" i="4"/>
  <c r="K747" i="4" s="1"/>
  <c r="G703" i="4"/>
  <c r="J703" i="4" s="1"/>
  <c r="G702" i="4"/>
  <c r="J702" i="4" s="1"/>
  <c r="G701" i="4"/>
  <c r="J701" i="4" s="1"/>
  <c r="G700" i="4"/>
  <c r="J700" i="4" s="1"/>
  <c r="G699" i="4"/>
  <c r="K699" i="4" s="1"/>
  <c r="G698" i="4"/>
  <c r="G697" i="4"/>
  <c r="K697" i="4" s="1"/>
  <c r="G696" i="4"/>
  <c r="K696" i="4" s="1"/>
  <c r="G695" i="4"/>
  <c r="J695" i="4" s="1"/>
  <c r="G694" i="4"/>
  <c r="J694" i="4" s="1"/>
  <c r="G693" i="4"/>
  <c r="J693" i="4" s="1"/>
  <c r="G692" i="4"/>
  <c r="J692" i="4" s="1"/>
  <c r="G691" i="4"/>
  <c r="G690" i="4"/>
  <c r="G689" i="4"/>
  <c r="K689" i="4" s="1"/>
  <c r="G688" i="4"/>
  <c r="K688" i="4" s="1"/>
  <c r="G687" i="4"/>
  <c r="K687" i="4" s="1"/>
  <c r="G643" i="4"/>
  <c r="J643" i="4" s="1"/>
  <c r="G642" i="4"/>
  <c r="J642" i="4" s="1"/>
  <c r="G641" i="4"/>
  <c r="G640" i="4"/>
  <c r="G639" i="4"/>
  <c r="K639" i="4" s="1"/>
  <c r="G638" i="4"/>
  <c r="J638" i="4" s="1"/>
  <c r="G637" i="4"/>
  <c r="K637" i="4" s="1"/>
  <c r="G636" i="4"/>
  <c r="J636" i="4" s="1"/>
  <c r="G635" i="4"/>
  <c r="J635" i="4" s="1"/>
  <c r="G634" i="4"/>
  <c r="J634" i="4" s="1"/>
  <c r="G633" i="4"/>
  <c r="G632" i="4"/>
  <c r="G631" i="4"/>
  <c r="K631" i="4" s="1"/>
  <c r="G630" i="4"/>
  <c r="K630" i="4" s="1"/>
  <c r="G629" i="4"/>
  <c r="K629" i="4" s="1"/>
  <c r="G628" i="4"/>
  <c r="J628" i="4" s="1"/>
  <c r="G627" i="4"/>
  <c r="K627" i="4" s="1"/>
  <c r="G583" i="4"/>
  <c r="G582" i="4"/>
  <c r="G581" i="4"/>
  <c r="K581" i="4" s="1"/>
  <c r="G580" i="4"/>
  <c r="K580" i="4" s="1"/>
  <c r="G579" i="4"/>
  <c r="K579" i="4" s="1"/>
  <c r="G578" i="4"/>
  <c r="J578" i="4" s="1"/>
  <c r="G577" i="4"/>
  <c r="J577" i="4" s="1"/>
  <c r="G576" i="4"/>
  <c r="J576" i="4" s="1"/>
  <c r="G575" i="4"/>
  <c r="G574" i="4"/>
  <c r="G573" i="4"/>
  <c r="K573" i="4" s="1"/>
  <c r="G572" i="4"/>
  <c r="K572" i="4" s="1"/>
  <c r="G571" i="4"/>
  <c r="K571" i="4" s="1"/>
  <c r="G570" i="4"/>
  <c r="J570" i="4" s="1"/>
  <c r="G569" i="4"/>
  <c r="J569" i="4" s="1"/>
  <c r="G568" i="4"/>
  <c r="J568" i="4" s="1"/>
  <c r="G567" i="4"/>
  <c r="G516" i="4"/>
  <c r="G515" i="4"/>
  <c r="K515" i="4" s="1"/>
  <c r="G514" i="4"/>
  <c r="K514" i="4" s="1"/>
  <c r="G513" i="4"/>
  <c r="K513" i="4" s="1"/>
  <c r="G512" i="4"/>
  <c r="J512" i="4" s="1"/>
  <c r="G511" i="4"/>
  <c r="J511" i="4" s="1"/>
  <c r="G510" i="4"/>
  <c r="J510" i="4" s="1"/>
  <c r="G509" i="4"/>
  <c r="G508" i="4"/>
  <c r="G507" i="4"/>
  <c r="K507" i="4" s="1"/>
  <c r="H498" i="4"/>
  <c r="B498" i="4"/>
  <c r="H497" i="4"/>
  <c r="J495" i="4"/>
  <c r="G455" i="4"/>
  <c r="J455" i="4" s="1"/>
  <c r="G454" i="4"/>
  <c r="G453" i="4"/>
  <c r="G452" i="4"/>
  <c r="K452" i="4" s="1"/>
  <c r="G451" i="4"/>
  <c r="K451" i="4" s="1"/>
  <c r="G450" i="4"/>
  <c r="K450" i="4" s="1"/>
  <c r="G449" i="4"/>
  <c r="J449" i="4" s="1"/>
  <c r="G448" i="4"/>
  <c r="J448" i="4" s="1"/>
  <c r="G447" i="4"/>
  <c r="J447" i="4" s="1"/>
  <c r="G446" i="4"/>
  <c r="H437" i="4"/>
  <c r="B437" i="4"/>
  <c r="H436" i="4"/>
  <c r="J434" i="4"/>
  <c r="G394" i="4"/>
  <c r="J394" i="4" s="1"/>
  <c r="G393" i="4"/>
  <c r="J393" i="4" s="1"/>
  <c r="G392" i="4"/>
  <c r="J392" i="4" s="1"/>
  <c r="G391" i="4"/>
  <c r="G390" i="4"/>
  <c r="K390" i="4" s="1"/>
  <c r="G389" i="4"/>
  <c r="K389" i="4" s="1"/>
  <c r="G388" i="4"/>
  <c r="K388" i="4" s="1"/>
  <c r="G387" i="4"/>
  <c r="K387" i="4" s="1"/>
  <c r="G386" i="4"/>
  <c r="J386" i="4" s="1"/>
  <c r="G385" i="4"/>
  <c r="H376" i="4"/>
  <c r="B376" i="4"/>
  <c r="H375" i="4"/>
  <c r="J373" i="4"/>
  <c r="G333" i="4"/>
  <c r="J333" i="4" s="1"/>
  <c r="G332" i="4"/>
  <c r="K332" i="4" s="1"/>
  <c r="G331" i="4"/>
  <c r="J331" i="4" s="1"/>
  <c r="G330" i="4"/>
  <c r="J330" i="4" s="1"/>
  <c r="G329" i="4"/>
  <c r="J329" i="4" s="1"/>
  <c r="G328" i="4"/>
  <c r="K328" i="4" s="1"/>
  <c r="G327" i="4"/>
  <c r="K327" i="4" s="1"/>
  <c r="G326" i="4"/>
  <c r="K326" i="4" s="1"/>
  <c r="G325" i="4"/>
  <c r="J325" i="4" s="1"/>
  <c r="G324" i="4"/>
  <c r="K324" i="4" s="1"/>
  <c r="H315" i="4"/>
  <c r="B315" i="4"/>
  <c r="H314" i="4"/>
  <c r="B314" i="4"/>
  <c r="J312" i="4"/>
  <c r="G272" i="4"/>
  <c r="K272" i="4" s="1"/>
  <c r="G271" i="4"/>
  <c r="J271" i="4" s="1"/>
  <c r="G270" i="4"/>
  <c r="J270" i="4" s="1"/>
  <c r="G269" i="4"/>
  <c r="J269" i="4" s="1"/>
  <c r="G268" i="4"/>
  <c r="K268" i="4" s="1"/>
  <c r="G267" i="4"/>
  <c r="K267" i="4" s="1"/>
  <c r="G266" i="4"/>
  <c r="J266" i="4" s="1"/>
  <c r="G265" i="4"/>
  <c r="K265" i="4" s="1"/>
  <c r="G264" i="4"/>
  <c r="K264" i="4" s="1"/>
  <c r="G263" i="4"/>
  <c r="K263" i="4" s="1"/>
  <c r="H254" i="4"/>
  <c r="B254" i="4"/>
  <c r="H253" i="4"/>
  <c r="B253" i="4"/>
  <c r="J251" i="4"/>
  <c r="G211" i="4"/>
  <c r="J211" i="4" s="1"/>
  <c r="G210" i="4"/>
  <c r="J210" i="4" s="1"/>
  <c r="G209" i="4"/>
  <c r="J209" i="4" s="1"/>
  <c r="G208" i="4"/>
  <c r="K208" i="4" s="1"/>
  <c r="G207" i="4"/>
  <c r="K207" i="4" s="1"/>
  <c r="G206" i="4"/>
  <c r="K206" i="4" s="1"/>
  <c r="G205" i="4"/>
  <c r="K205" i="4" s="1"/>
  <c r="G204" i="4"/>
  <c r="K204" i="4" s="1"/>
  <c r="G203" i="4"/>
  <c r="J203" i="4" s="1"/>
  <c r="G202" i="4"/>
  <c r="J202" i="4" s="1"/>
  <c r="H193" i="4"/>
  <c r="B193" i="4"/>
  <c r="H192" i="4"/>
  <c r="B192" i="4"/>
  <c r="J190" i="4"/>
  <c r="G150" i="4"/>
  <c r="J150" i="4" s="1"/>
  <c r="G149" i="4"/>
  <c r="J149" i="4" s="1"/>
  <c r="G148" i="4"/>
  <c r="K148" i="4" s="1"/>
  <c r="G147" i="4"/>
  <c r="K147" i="4" s="1"/>
  <c r="G146" i="4"/>
  <c r="K146" i="4" s="1"/>
  <c r="G145" i="4"/>
  <c r="J145" i="4" s="1"/>
  <c r="G144" i="4"/>
  <c r="K144" i="4" s="1"/>
  <c r="G143" i="4"/>
  <c r="J143" i="4" s="1"/>
  <c r="G142" i="4"/>
  <c r="J142" i="4" s="1"/>
  <c r="G141" i="4"/>
  <c r="J141" i="4" s="1"/>
  <c r="H132" i="4"/>
  <c r="B132" i="4"/>
  <c r="H131" i="4"/>
  <c r="B131" i="4"/>
  <c r="J129" i="4"/>
  <c r="G89" i="4"/>
  <c r="K89" i="4" s="1"/>
  <c r="G88" i="4"/>
  <c r="K88" i="4" s="1"/>
  <c r="G87" i="4"/>
  <c r="K87" i="4" s="1"/>
  <c r="G86" i="4"/>
  <c r="G85" i="4"/>
  <c r="K85" i="4" s="1"/>
  <c r="G84" i="4"/>
  <c r="G83" i="4"/>
  <c r="G82" i="4"/>
  <c r="G81" i="4"/>
  <c r="K81" i="4" s="1"/>
  <c r="G80" i="4"/>
  <c r="K80" i="4" s="1"/>
  <c r="H71" i="4"/>
  <c r="B71" i="4"/>
  <c r="H70" i="4"/>
  <c r="B70" i="4"/>
  <c r="J68" i="4"/>
  <c r="G28" i="4"/>
  <c r="K28" i="4" s="1"/>
  <c r="G27" i="4"/>
  <c r="K27" i="4" s="1"/>
  <c r="G26" i="4"/>
  <c r="K26" i="4" s="1"/>
  <c r="G25" i="4"/>
  <c r="K25" i="4" s="1"/>
  <c r="G24" i="4"/>
  <c r="K24" i="4" s="1"/>
  <c r="G23" i="4"/>
  <c r="K23" i="4" s="1"/>
  <c r="G22" i="4"/>
  <c r="G21" i="4"/>
  <c r="G20" i="4"/>
  <c r="K20" i="4" s="1"/>
  <c r="G19" i="4"/>
  <c r="B161" i="4" l="1"/>
  <c r="H161" i="4" s="1"/>
  <c r="K161" i="4" s="1"/>
  <c r="K1059" i="4"/>
  <c r="J148" i="4"/>
  <c r="J573" i="4"/>
  <c r="J580" i="4"/>
  <c r="K933" i="4"/>
  <c r="J388" i="4"/>
  <c r="K762" i="4"/>
  <c r="K878" i="4"/>
  <c r="J146" i="4"/>
  <c r="J870" i="4"/>
  <c r="K86" i="4"/>
  <c r="J387" i="4"/>
  <c r="K703" i="4"/>
  <c r="J761" i="4"/>
  <c r="K935" i="4"/>
  <c r="J204" i="4"/>
  <c r="K266" i="4"/>
  <c r="J205" i="4"/>
  <c r="J507" i="4"/>
  <c r="J572" i="4"/>
  <c r="K695" i="4"/>
  <c r="J390" i="4"/>
  <c r="J450" i="4"/>
  <c r="K628" i="4"/>
  <c r="K759" i="4"/>
  <c r="J813" i="4"/>
  <c r="J819" i="4"/>
  <c r="K941" i="4"/>
  <c r="K1110" i="4"/>
  <c r="J1117" i="4"/>
  <c r="K21" i="4"/>
  <c r="J272" i="4"/>
  <c r="K333" i="4"/>
  <c r="K636" i="4"/>
  <c r="K692" i="4"/>
  <c r="K754" i="4"/>
  <c r="J993" i="4"/>
  <c r="K999" i="4"/>
  <c r="K570" i="4"/>
  <c r="J631" i="4"/>
  <c r="K693" i="4"/>
  <c r="J811" i="4"/>
  <c r="J821" i="4"/>
  <c r="J877" i="4"/>
  <c r="K882" i="4"/>
  <c r="J1001" i="4"/>
  <c r="K1051" i="4"/>
  <c r="K1058" i="4"/>
  <c r="K449" i="4"/>
  <c r="J639" i="4"/>
  <c r="K701" i="4"/>
  <c r="K818" i="4"/>
  <c r="J324" i="4"/>
  <c r="K448" i="4"/>
  <c r="J452" i="4"/>
  <c r="J629" i="4"/>
  <c r="K751" i="4"/>
  <c r="K810" i="4"/>
  <c r="J869" i="4"/>
  <c r="K874" i="4"/>
  <c r="K940" i="4"/>
  <c r="B1127" i="4"/>
  <c r="H1127" i="4" s="1"/>
  <c r="K1127" i="4" s="1"/>
  <c r="J513" i="4"/>
  <c r="K577" i="4"/>
  <c r="J581" i="4"/>
  <c r="K994" i="4"/>
  <c r="J1053" i="4"/>
  <c r="J1118" i="4"/>
  <c r="K269" i="4"/>
  <c r="K325" i="4"/>
  <c r="J332" i="4"/>
  <c r="K394" i="4"/>
  <c r="J514" i="4"/>
  <c r="K578" i="4"/>
  <c r="J753" i="4"/>
  <c r="K991" i="4"/>
  <c r="K1050" i="4"/>
  <c r="J1109" i="4"/>
  <c r="K1114" i="4"/>
  <c r="K150" i="4"/>
  <c r="K700" i="4"/>
  <c r="B887" i="4"/>
  <c r="H887" i="4" s="1"/>
  <c r="K887" i="4" s="1"/>
  <c r="K932" i="4"/>
  <c r="K943" i="4"/>
  <c r="K1002" i="4"/>
  <c r="J1061" i="4"/>
  <c r="J579" i="4"/>
  <c r="J689" i="4"/>
  <c r="K808" i="4"/>
  <c r="K816" i="4"/>
  <c r="K867" i="4"/>
  <c r="K934" i="4"/>
  <c r="K942" i="4"/>
  <c r="K1048" i="4"/>
  <c r="K1056" i="4"/>
  <c r="K1107" i="4"/>
  <c r="K1115" i="4"/>
  <c r="K145" i="4"/>
  <c r="K149" i="4"/>
  <c r="K203" i="4"/>
  <c r="J206" i="4"/>
  <c r="J264" i="4"/>
  <c r="K271" i="4"/>
  <c r="K386" i="4"/>
  <c r="J389" i="4"/>
  <c r="J451" i="4"/>
  <c r="J571" i="4"/>
  <c r="J630" i="4"/>
  <c r="K635" i="4"/>
  <c r="K638" i="4"/>
  <c r="B707" i="4"/>
  <c r="H707" i="4" s="1"/>
  <c r="K707" i="4" s="1"/>
  <c r="K750" i="4"/>
  <c r="K758" i="4"/>
  <c r="J812" i="4"/>
  <c r="J820" i="4"/>
  <c r="B947" i="4"/>
  <c r="H947" i="4" s="1"/>
  <c r="K947" i="4" s="1"/>
  <c r="K990" i="4"/>
  <c r="K998" i="4"/>
  <c r="J1052" i="4"/>
  <c r="J1060" i="4"/>
  <c r="J1119" i="4"/>
  <c r="J327" i="4"/>
  <c r="K643" i="4"/>
  <c r="J697" i="4"/>
  <c r="K702" i="4"/>
  <c r="K875" i="4"/>
  <c r="K883" i="4"/>
  <c r="J929" i="4"/>
  <c r="J937" i="4"/>
  <c r="K22" i="4"/>
  <c r="K84" i="4"/>
  <c r="J267" i="4"/>
  <c r="K512" i="4"/>
  <c r="J515" i="4"/>
  <c r="J687" i="4"/>
  <c r="K809" i="4"/>
  <c r="K817" i="4"/>
  <c r="K868" i="4"/>
  <c r="J871" i="4"/>
  <c r="K876" i="4"/>
  <c r="J879" i="4"/>
  <c r="J927" i="4"/>
  <c r="K1049" i="4"/>
  <c r="K1057" i="4"/>
  <c r="K1108" i="4"/>
  <c r="J1111" i="4"/>
  <c r="K1116" i="4"/>
  <c r="K511" i="4"/>
  <c r="K694" i="4"/>
  <c r="J265" i="4"/>
  <c r="J268" i="4"/>
  <c r="B39" i="4"/>
  <c r="H39" i="4" s="1"/>
  <c r="K39" i="4" s="1"/>
  <c r="J144" i="4"/>
  <c r="J208" i="4"/>
  <c r="J326" i="4"/>
  <c r="K331" i="4"/>
  <c r="K569" i="4"/>
  <c r="J637" i="4"/>
  <c r="J688" i="4"/>
  <c r="J696" i="4"/>
  <c r="J747" i="4"/>
  <c r="K752" i="4"/>
  <c r="J755" i="4"/>
  <c r="K760" i="4"/>
  <c r="J763" i="4"/>
  <c r="J928" i="4"/>
  <c r="J936" i="4"/>
  <c r="J987" i="4"/>
  <c r="K992" i="4"/>
  <c r="J995" i="4"/>
  <c r="K1000" i="4"/>
  <c r="J1003" i="4"/>
  <c r="K1122" i="4"/>
  <c r="K83" i="4"/>
  <c r="K393" i="4"/>
  <c r="B1067" i="4"/>
  <c r="H1067" i="4" s="1"/>
  <c r="K1067" i="4" s="1"/>
  <c r="K19" i="4"/>
  <c r="B100" i="4"/>
  <c r="H100" i="4" s="1"/>
  <c r="K100" i="4" s="1"/>
  <c r="K141" i="4"/>
  <c r="K209" i="4"/>
  <c r="J328" i="4"/>
  <c r="K447" i="4"/>
  <c r="K455" i="4"/>
  <c r="K509" i="4"/>
  <c r="J509" i="4"/>
  <c r="K567" i="4"/>
  <c r="J567" i="4"/>
  <c r="K575" i="4"/>
  <c r="J575" i="4"/>
  <c r="K583" i="4"/>
  <c r="J583" i="4"/>
  <c r="K633" i="4"/>
  <c r="J633" i="4"/>
  <c r="K641" i="4"/>
  <c r="J641" i="4"/>
  <c r="K930" i="4"/>
  <c r="J930" i="4"/>
  <c r="K938" i="4"/>
  <c r="J938" i="4"/>
  <c r="B587" i="4"/>
  <c r="H587" i="4" s="1"/>
  <c r="K587" i="4" s="1"/>
  <c r="K142" i="4"/>
  <c r="K210" i="4"/>
  <c r="K329" i="4"/>
  <c r="K391" i="4"/>
  <c r="J391" i="4"/>
  <c r="K510" i="4"/>
  <c r="K568" i="4"/>
  <c r="K576" i="4"/>
  <c r="K634" i="4"/>
  <c r="K642" i="4"/>
  <c r="K872" i="4"/>
  <c r="J872" i="4"/>
  <c r="K880" i="4"/>
  <c r="J880" i="4"/>
  <c r="B405" i="4"/>
  <c r="H405" i="4" s="1"/>
  <c r="K405" i="4" s="1"/>
  <c r="J385" i="4"/>
  <c r="B647" i="4"/>
  <c r="H647" i="4" s="1"/>
  <c r="K647" i="4" s="1"/>
  <c r="K748" i="4"/>
  <c r="J748" i="4"/>
  <c r="K756" i="4"/>
  <c r="J756" i="4"/>
  <c r="B767" i="4"/>
  <c r="H767" i="4" s="1"/>
  <c r="K767" i="4" s="1"/>
  <c r="K814" i="4"/>
  <c r="J814" i="4"/>
  <c r="K822" i="4"/>
  <c r="J822" i="4"/>
  <c r="K1120" i="4"/>
  <c r="J1120" i="4"/>
  <c r="K82" i="4"/>
  <c r="K143" i="4"/>
  <c r="J207" i="4"/>
  <c r="K211" i="4"/>
  <c r="B344" i="4"/>
  <c r="H344" i="4" s="1"/>
  <c r="K344" i="4" s="1"/>
  <c r="K330" i="4"/>
  <c r="K385" i="4"/>
  <c r="K392" i="4"/>
  <c r="B827" i="4"/>
  <c r="H827" i="4" s="1"/>
  <c r="K827" i="4" s="1"/>
  <c r="K1112" i="4"/>
  <c r="J1112" i="4"/>
  <c r="J263" i="4"/>
  <c r="B283" i="4"/>
  <c r="H283" i="4" s="1"/>
  <c r="K283" i="4" s="1"/>
  <c r="K453" i="4"/>
  <c r="J453" i="4"/>
  <c r="K988" i="4"/>
  <c r="J988" i="4"/>
  <c r="K996" i="4"/>
  <c r="J996" i="4"/>
  <c r="B1007" i="4"/>
  <c r="H1007" i="4" s="1"/>
  <c r="K1007" i="4" s="1"/>
  <c r="K1054" i="4"/>
  <c r="J1054" i="4"/>
  <c r="K1062" i="4"/>
  <c r="J1062" i="4"/>
  <c r="K446" i="4"/>
  <c r="J446" i="4"/>
  <c r="K454" i="4"/>
  <c r="J454" i="4"/>
  <c r="K690" i="4"/>
  <c r="J690" i="4"/>
  <c r="K698" i="4"/>
  <c r="J698" i="4"/>
  <c r="B222" i="4"/>
  <c r="H222" i="4" s="1"/>
  <c r="K222" i="4" s="1"/>
  <c r="J147" i="4"/>
  <c r="K202" i="4"/>
  <c r="K270" i="4"/>
  <c r="B466" i="4"/>
  <c r="H466" i="4" s="1"/>
  <c r="K466" i="4" s="1"/>
  <c r="K508" i="4"/>
  <c r="J508" i="4"/>
  <c r="K516" i="4"/>
  <c r="J516" i="4"/>
  <c r="B527" i="4"/>
  <c r="H527" i="4" s="1"/>
  <c r="K527" i="4" s="1"/>
  <c r="K574" i="4"/>
  <c r="J574" i="4"/>
  <c r="K582" i="4"/>
  <c r="J582" i="4"/>
  <c r="K632" i="4"/>
  <c r="J632" i="4"/>
  <c r="K640" i="4"/>
  <c r="J640" i="4"/>
  <c r="K691" i="4"/>
  <c r="J691" i="4"/>
  <c r="J627" i="4"/>
  <c r="J867" i="4"/>
  <c r="J1107" i="4"/>
  <c r="J1123" i="4"/>
  <c r="J699" i="4"/>
  <c r="J749" i="4"/>
  <c r="J757" i="4"/>
  <c r="J807" i="4"/>
  <c r="J815" i="4"/>
  <c r="J823" i="4"/>
  <c r="J873" i="4"/>
  <c r="J881" i="4"/>
  <c r="J931" i="4"/>
  <c r="J939" i="4"/>
  <c r="J989" i="4"/>
  <c r="J997" i="4"/>
  <c r="J1047" i="4"/>
  <c r="J1055" i="4"/>
  <c r="J1063" i="4"/>
  <c r="J1113" i="4"/>
  <c r="J1121" i="4"/>
  <c r="K807" i="4"/>
  <c r="K1047" i="4"/>
</calcChain>
</file>

<file path=xl/sharedStrings.xml><?xml version="1.0" encoding="utf-8"?>
<sst xmlns="http://schemas.openxmlformats.org/spreadsheetml/2006/main" count="2209" uniqueCount="176">
  <si>
    <t>GASKIYA HIGH SCHOOL, JOS</t>
  </si>
  <si>
    <t xml:space="preserve">NO 11 Kashim Ibrahim Street, Jos North and Diye-Tohwot, Zaramaganda, Jos South, Plateau State </t>
  </si>
  <si>
    <t>PLATEAU STATE MINISTRY OF EDUCATION</t>
  </si>
  <si>
    <t>JUNIOR SECONDARY SCHOOL TERMLY REPORT</t>
  </si>
  <si>
    <t>CORE SUBJECTS</t>
  </si>
  <si>
    <t>ACADEMIC RECORDS</t>
  </si>
  <si>
    <t>English</t>
  </si>
  <si>
    <t>Mathematics</t>
  </si>
  <si>
    <t>Hausa</t>
  </si>
  <si>
    <t>Social Studies</t>
  </si>
  <si>
    <t>C.R.K</t>
  </si>
  <si>
    <t>Basic Science</t>
  </si>
  <si>
    <t>P.H.E</t>
  </si>
  <si>
    <t>Civic Education</t>
  </si>
  <si>
    <t>Basic Technology</t>
  </si>
  <si>
    <t>Home Economics</t>
  </si>
  <si>
    <t>Business Studies</t>
  </si>
  <si>
    <t>Computer</t>
  </si>
  <si>
    <t>French</t>
  </si>
  <si>
    <t>History</t>
  </si>
  <si>
    <t>Music</t>
  </si>
  <si>
    <t>Practical Agric.</t>
  </si>
  <si>
    <t>ASSIGNMENTS/TEST</t>
  </si>
  <si>
    <t>Marks</t>
  </si>
  <si>
    <t xml:space="preserve">EXAM </t>
  </si>
  <si>
    <t>Total</t>
  </si>
  <si>
    <t>Scores</t>
  </si>
  <si>
    <t xml:space="preserve">Class </t>
  </si>
  <si>
    <t>Average</t>
  </si>
  <si>
    <t>Remarks</t>
  </si>
  <si>
    <t>Ratings</t>
  </si>
  <si>
    <t>BEHAVIOUR AND ACTIVITIES</t>
  </si>
  <si>
    <t>Punctuality</t>
  </si>
  <si>
    <t>Attendance in Class</t>
  </si>
  <si>
    <t>Attentiveness in Class</t>
  </si>
  <si>
    <t>Carrying out Assignments</t>
  </si>
  <si>
    <t>Participation in School Activities</t>
  </si>
  <si>
    <t xml:space="preserve">Neatness </t>
  </si>
  <si>
    <t>Honesty</t>
  </si>
  <si>
    <t>Self Control</t>
  </si>
  <si>
    <t>Relationship with Others</t>
  </si>
  <si>
    <t>Helping Others</t>
  </si>
  <si>
    <t>Games, Sports</t>
  </si>
  <si>
    <t>Handling of Tools, Lab &amp; Workshop</t>
  </si>
  <si>
    <t>A</t>
  </si>
  <si>
    <t>B</t>
  </si>
  <si>
    <t>C</t>
  </si>
  <si>
    <t>D</t>
  </si>
  <si>
    <t>E</t>
  </si>
  <si>
    <t>AVERAGE:</t>
  </si>
  <si>
    <t>=</t>
  </si>
  <si>
    <t>KEY TO RATING</t>
  </si>
  <si>
    <t>A   =    Excellent</t>
  </si>
  <si>
    <t>B   =    V.Good</t>
  </si>
  <si>
    <t>C   =    Good</t>
  </si>
  <si>
    <t>D   =    Pass</t>
  </si>
  <si>
    <t>E   =    Fair</t>
  </si>
  <si>
    <t>F   =    Fail</t>
  </si>
  <si>
    <t>TOTAL =</t>
  </si>
  <si>
    <t>Exam No.:</t>
  </si>
  <si>
    <t xml:space="preserve">Name of Student: </t>
  </si>
  <si>
    <t xml:space="preserve">State of Origin: </t>
  </si>
  <si>
    <t xml:space="preserve">No. in Class: </t>
  </si>
  <si>
    <t>Term:</t>
  </si>
  <si>
    <t>First Term 24/25 Session</t>
  </si>
  <si>
    <t xml:space="preserve"> Position</t>
  </si>
  <si>
    <t>Subject</t>
  </si>
  <si>
    <t>Grade</t>
  </si>
  <si>
    <t>LGA:</t>
  </si>
  <si>
    <t>Sex:</t>
  </si>
  <si>
    <t xml:space="preserve">Position: </t>
  </si>
  <si>
    <t>Term Ending:</t>
  </si>
  <si>
    <t xml:space="preserve">School Fees Paid: </t>
  </si>
  <si>
    <t>Next Term Begins:</t>
  </si>
  <si>
    <t>Fees Owed:</t>
  </si>
  <si>
    <t>Class:</t>
  </si>
  <si>
    <t>Assignment</t>
  </si>
  <si>
    <t>Test</t>
  </si>
  <si>
    <t xml:space="preserve">Form Master's Remark: </t>
  </si>
  <si>
    <t>An excellent result, keep it up!</t>
  </si>
  <si>
    <t xml:space="preserve">Signature/Date: </t>
  </si>
  <si>
    <t xml:space="preserve">Principal's Remark: </t>
  </si>
  <si>
    <t>CCA</t>
  </si>
  <si>
    <t>OO1</t>
  </si>
  <si>
    <t>PLATEAU</t>
  </si>
  <si>
    <t>MALE</t>
  </si>
  <si>
    <t>13th December, 2024</t>
  </si>
  <si>
    <t>6th January, 2025</t>
  </si>
  <si>
    <t>OO2</t>
  </si>
  <si>
    <t>OO5</t>
  </si>
  <si>
    <t>FEMALE</t>
  </si>
  <si>
    <t>JSS 2</t>
  </si>
  <si>
    <t>DAVID JONAH</t>
  </si>
  <si>
    <t>HABIB OLUKANMI</t>
  </si>
  <si>
    <t>OO6</t>
  </si>
  <si>
    <t>FAVOUR ODOEMENE</t>
  </si>
  <si>
    <t>OO7</t>
  </si>
  <si>
    <t>FARHA MUSTAPHA</t>
  </si>
  <si>
    <t>OO8</t>
  </si>
  <si>
    <t>GRATEFUL CHIDIOGO OKAFOR</t>
  </si>
  <si>
    <t>OO9</t>
  </si>
  <si>
    <t>SHAKIRAT OLUKANMI</t>
  </si>
  <si>
    <t>O1O</t>
  </si>
  <si>
    <t>FATIMA MANSUR ADAM</t>
  </si>
  <si>
    <t>O11</t>
  </si>
  <si>
    <t>NISSI VICTOR</t>
  </si>
  <si>
    <t>O12</t>
  </si>
  <si>
    <t>15th December, 2024</t>
  </si>
  <si>
    <t>JAMES OTHNIEL GEORGE</t>
  </si>
  <si>
    <t>JSS 3</t>
  </si>
  <si>
    <t>ODOEMENE PRAISE</t>
  </si>
  <si>
    <t>1st</t>
  </si>
  <si>
    <t>2nd</t>
  </si>
  <si>
    <t>5th</t>
  </si>
  <si>
    <t xml:space="preserve">3rd </t>
  </si>
  <si>
    <t>4th</t>
  </si>
  <si>
    <t>3rd</t>
  </si>
  <si>
    <t>6th</t>
  </si>
  <si>
    <t>7th</t>
  </si>
  <si>
    <t>8th</t>
  </si>
  <si>
    <t>9th</t>
  </si>
  <si>
    <t>10th</t>
  </si>
  <si>
    <t>11th</t>
  </si>
  <si>
    <t>12th</t>
  </si>
  <si>
    <r>
      <t>ü</t>
    </r>
    <r>
      <rPr>
        <sz val="36"/>
        <color rgb="FF0070C0"/>
        <rFont val="Calibri"/>
        <family val="2"/>
        <scheme val="minor"/>
      </rPr>
      <t xml:space="preserve">   </t>
    </r>
  </si>
  <si>
    <t>A good result, with more effort, you can do better next term</t>
  </si>
  <si>
    <t>A good performance, you can do better next term.</t>
  </si>
  <si>
    <t>An excellent result, keep it up next term!</t>
  </si>
  <si>
    <t>An excellent result, keep the flag higher!</t>
  </si>
  <si>
    <t>A good performance, you need to improve in mathematics next term.</t>
  </si>
  <si>
    <t>A good performance, you need to improve in English and Mathematics.</t>
  </si>
  <si>
    <t>A good performance, you need to improve in English next term.</t>
  </si>
  <si>
    <t>A very good result, keep it up!</t>
  </si>
  <si>
    <t>A very good performance, keep it up!</t>
  </si>
  <si>
    <t>A good performance, you need to improve in Mathematics.</t>
  </si>
  <si>
    <t>A fair result, you need to work on yourself next term!</t>
  </si>
  <si>
    <t>A fair performance, you need to work hard next term!</t>
  </si>
  <si>
    <t>A good performance, you need to improve in English and Math.</t>
  </si>
  <si>
    <t>MANGU</t>
  </si>
  <si>
    <t>25th March, 2025</t>
  </si>
  <si>
    <t>28th April, 2025</t>
  </si>
  <si>
    <t>JOS SOUTH</t>
  </si>
  <si>
    <t>SS 1</t>
  </si>
  <si>
    <t xml:space="preserve">SCIENCE </t>
  </si>
  <si>
    <t>SENIOR SECONDARY SCHOOL TERMLY REPORT</t>
  </si>
  <si>
    <t>PRECIOUS IBRAHIM LURET</t>
  </si>
  <si>
    <t>OLUSAKIN H. SIMILOUWA</t>
  </si>
  <si>
    <t>OSUN</t>
  </si>
  <si>
    <t>OBOKUN</t>
  </si>
  <si>
    <t>ADAMAWA</t>
  </si>
  <si>
    <t>MICHIKA</t>
  </si>
  <si>
    <t>GODFREY ELIJAH</t>
  </si>
  <si>
    <t>Physics</t>
  </si>
  <si>
    <t>Chemistry</t>
  </si>
  <si>
    <t>Biology</t>
  </si>
  <si>
    <t>Geography</t>
  </si>
  <si>
    <t>Additional Maths</t>
  </si>
  <si>
    <t>Economics</t>
  </si>
  <si>
    <t>Animal Husbandry</t>
  </si>
  <si>
    <t>O13</t>
  </si>
  <si>
    <t>O14</t>
  </si>
  <si>
    <t>O15</t>
  </si>
  <si>
    <t>O16</t>
  </si>
  <si>
    <t>O17</t>
  </si>
  <si>
    <t>ART</t>
  </si>
  <si>
    <t>YOHANNA JUDITH DANCHUNG</t>
  </si>
  <si>
    <t>BARKIN LADI</t>
  </si>
  <si>
    <t>BENSHAK AGAPE MANJI</t>
  </si>
  <si>
    <t>ADAMU JAPHET GYANG</t>
  </si>
  <si>
    <t>SATI FAITH ANDEBEL</t>
  </si>
  <si>
    <t>BOKKOS</t>
  </si>
  <si>
    <t>ISRAEL THOMAS</t>
  </si>
  <si>
    <t>GRACIOUS BITRUS</t>
  </si>
  <si>
    <t>Lit. In English</t>
  </si>
  <si>
    <t>C.R.S</t>
  </si>
  <si>
    <t>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</si>
</sst>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4"/>
      <color theme="1"/>
      <name val="Tahoma"/>
      <family val="2"/>
    </font>
    <font>
      <b/>
      <sz val="18"/>
      <color rgb="FF00B0F0"/>
      <name val="Tahoma"/>
      <family val="2"/>
    </font>
    <font>
      <b/>
      <sz val="14"/>
      <color theme="1"/>
      <name val="Tahoma"/>
      <family val="2"/>
    </font>
    <font>
      <b/>
      <sz val="22"/>
      <color rgb="FF002060"/>
      <name val="Tahoma"/>
      <family val="2"/>
    </font>
    <font>
      <b/>
      <sz val="24"/>
      <color rgb="FF002060"/>
      <name val="Tahoma"/>
      <family val="2"/>
    </font>
    <font>
      <b/>
      <sz val="20"/>
      <color rgb="FF0070C0"/>
      <name val="Tahoma"/>
      <family val="2"/>
    </font>
    <font>
      <b/>
      <sz val="20"/>
      <color theme="1"/>
      <name val="Tahoma"/>
      <family val="2"/>
    </font>
    <font>
      <sz val="20"/>
      <color theme="1"/>
      <name val="Tahoma"/>
      <family val="2"/>
    </font>
    <font>
      <b/>
      <sz val="20"/>
      <color theme="0"/>
      <name val="Tahoma"/>
      <family val="2"/>
    </font>
    <font>
      <b/>
      <sz val="20"/>
      <color theme="8"/>
      <name val="Tahoma"/>
      <family val="2"/>
    </font>
    <font>
      <sz val="24"/>
      <color theme="1"/>
      <name val="Tahoma"/>
      <family val="2"/>
    </font>
    <font>
      <b/>
      <sz val="24"/>
      <color theme="1"/>
      <name val="Tahoma"/>
      <family val="2"/>
    </font>
    <font>
      <b/>
      <sz val="24"/>
      <color rgb="FF0070C0"/>
      <name val="Tahoma"/>
      <family val="2"/>
    </font>
    <font>
      <b/>
      <u/>
      <sz val="24"/>
      <color rgb="FF0070C0"/>
      <name val="Tahoma"/>
      <family val="2"/>
    </font>
    <font>
      <b/>
      <sz val="22"/>
      <color rgb="FF0070C0"/>
      <name val="Tahoma"/>
      <family val="2"/>
    </font>
    <font>
      <sz val="22"/>
      <color rgb="FF0070C0"/>
      <name val="Tahoma"/>
      <family val="2"/>
    </font>
    <font>
      <sz val="26"/>
      <color theme="1"/>
      <name val="Tahoma"/>
      <family val="2"/>
    </font>
    <font>
      <b/>
      <sz val="26"/>
      <color rgb="FF0070C0"/>
      <name val="Tahoma"/>
      <family val="2"/>
    </font>
    <font>
      <b/>
      <sz val="26"/>
      <color theme="1"/>
      <name val="Tahoma"/>
      <family val="2"/>
    </font>
    <font>
      <sz val="28"/>
      <color theme="1"/>
      <name val="Tahoma"/>
      <family val="2"/>
    </font>
    <font>
      <b/>
      <sz val="28"/>
      <color theme="1"/>
      <name val="Tahoma"/>
      <family val="2"/>
    </font>
    <font>
      <b/>
      <sz val="24"/>
      <color theme="0"/>
      <name val="Tahoma"/>
      <family val="2"/>
    </font>
    <font>
      <b/>
      <sz val="28"/>
      <color theme="0"/>
      <name val="Tahoma"/>
      <family val="2"/>
    </font>
    <font>
      <b/>
      <sz val="65"/>
      <color rgb="FF002060"/>
      <name val="Tahoma"/>
      <family val="2"/>
    </font>
    <font>
      <b/>
      <sz val="36"/>
      <color rgb="FF00B0F0"/>
      <name val="Tahoma"/>
      <family val="2"/>
    </font>
    <font>
      <b/>
      <sz val="45"/>
      <color rgb="FF002060"/>
      <name val="Tahoma"/>
      <family val="2"/>
    </font>
    <font>
      <b/>
      <u/>
      <sz val="18"/>
      <color rgb="FF002060"/>
      <name val="Tahoma"/>
      <family val="2"/>
    </font>
    <font>
      <sz val="36"/>
      <color rgb="FF0070C0"/>
      <name val="Wingdings"/>
      <charset val="2"/>
    </font>
    <font>
      <sz val="36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/>
      <bottom style="thin">
        <color rgb="FF00206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/>
    </xf>
    <xf numFmtId="0" fontId="8" fillId="0" borderId="0" xfId="0" applyFont="1"/>
    <xf numFmtId="0" fontId="7" fillId="0" borderId="1" xfId="0" applyFont="1" applyBorder="1"/>
    <xf numFmtId="0" fontId="7" fillId="0" borderId="0" xfId="0" applyFont="1"/>
    <xf numFmtId="0" fontId="8" fillId="0" borderId="6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Border="1"/>
    <xf numFmtId="0" fontId="7" fillId="0" borderId="1" xfId="0" applyFont="1" applyBorder="1" applyAlignment="1">
      <alignment horizontal="center"/>
    </xf>
    <xf numFmtId="0" fontId="10" fillId="0" borderId="0" xfId="0" applyFont="1"/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7" fillId="0" borderId="0" xfId="0" applyFont="1"/>
    <xf numFmtId="0" fontId="19" fillId="0" borderId="0" xfId="0" applyFont="1" applyAlignment="1"/>
    <xf numFmtId="0" fontId="20" fillId="0" borderId="0" xfId="0" applyFont="1"/>
    <xf numFmtId="0" fontId="22" fillId="2" borderId="0" xfId="0" applyFont="1" applyFill="1"/>
    <xf numFmtId="0" fontId="19" fillId="0" borderId="0" xfId="0" applyFont="1"/>
    <xf numFmtId="0" fontId="19" fillId="0" borderId="1" xfId="0" applyFont="1" applyBorder="1"/>
    <xf numFmtId="0" fontId="5" fillId="0" borderId="1" xfId="0" applyFont="1" applyBorder="1"/>
    <xf numFmtId="0" fontId="5" fillId="0" borderId="3" xfId="0" applyFont="1" applyBorder="1"/>
    <xf numFmtId="0" fontId="5" fillId="0" borderId="8" xfId="0" applyFont="1" applyBorder="1" applyAlignment="1">
      <alignment horizontal="center"/>
    </xf>
    <xf numFmtId="9" fontId="5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19" fillId="0" borderId="6" xfId="0" applyFont="1" applyBorder="1" applyAlignment="1">
      <alignment horizontal="center"/>
    </xf>
    <xf numFmtId="0" fontId="19" fillId="0" borderId="6" xfId="0" applyFont="1" applyBorder="1"/>
    <xf numFmtId="0" fontId="19" fillId="0" borderId="1" xfId="0" applyFont="1" applyBorder="1" applyAlignment="1">
      <alignment horizontal="center"/>
    </xf>
    <xf numFmtId="0" fontId="19" fillId="0" borderId="2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21" fillId="0" borderId="0" xfId="0" applyFont="1" applyAlignment="1">
      <alignment horizontal="left" vertical="center"/>
    </xf>
    <xf numFmtId="0" fontId="21" fillId="0" borderId="0" xfId="0" applyFont="1"/>
    <xf numFmtId="2" fontId="19" fillId="0" borderId="6" xfId="0" applyNumberFormat="1" applyFont="1" applyBorder="1" applyAlignment="1">
      <alignment horizontal="center"/>
    </xf>
    <xf numFmtId="2" fontId="19" fillId="0" borderId="1" xfId="0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12" fillId="0" borderId="0" xfId="0" applyFont="1" applyAlignment="1">
      <alignment vertical="top"/>
    </xf>
    <xf numFmtId="0" fontId="28" fillId="0" borderId="1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19" fillId="0" borderId="0" xfId="0" applyFont="1" applyAlignment="1">
      <alignment horizontal="left"/>
    </xf>
    <xf numFmtId="0" fontId="5" fillId="0" borderId="1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5" fillId="0" borderId="9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23" fillId="2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9" fontId="5" fillId="0" borderId="2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15" fillId="0" borderId="3" xfId="0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16" fillId="0" borderId="1" xfId="0" applyFont="1" applyBorder="1"/>
    <xf numFmtId="0" fontId="16" fillId="0" borderId="3" xfId="0" applyFont="1" applyBorder="1"/>
    <xf numFmtId="9" fontId="5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2" xfId="0" applyFont="1" applyBorder="1" applyAlignment="1">
      <alignment horizontal="center"/>
    </xf>
    <xf numFmtId="0" fontId="12" fillId="0" borderId="0" xfId="0" applyFont="1" applyAlignment="1">
      <alignment horizontal="left" vertical="top"/>
    </xf>
    <xf numFmtId="0" fontId="27" fillId="0" borderId="0" xfId="0" applyFont="1" applyAlignment="1">
      <alignment horizontal="center"/>
    </xf>
    <xf numFmtId="0" fontId="12" fillId="0" borderId="0" xfId="0" applyFont="1" applyAlignment="1">
      <alignment horizontal="center" vertical="top"/>
    </xf>
    <xf numFmtId="0" fontId="21" fillId="0" borderId="0" xfId="0" applyFont="1" applyAlignment="1">
      <alignment horizontal="left"/>
    </xf>
    <xf numFmtId="0" fontId="1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3.wdp"/><Relationship Id="rId13" Type="http://schemas.openxmlformats.org/officeDocument/2006/relationships/image" Target="../media/image8.png"/><Relationship Id="rId18" Type="http://schemas.microsoft.com/office/2007/relationships/hdphoto" Target="../media/hdphoto8.wdp"/><Relationship Id="rId3" Type="http://schemas.openxmlformats.org/officeDocument/2006/relationships/image" Target="../media/image3.png"/><Relationship Id="rId21" Type="http://schemas.openxmlformats.org/officeDocument/2006/relationships/image" Target="../media/image12.png"/><Relationship Id="rId7" Type="http://schemas.openxmlformats.org/officeDocument/2006/relationships/image" Target="../media/image5.png"/><Relationship Id="rId12" Type="http://schemas.microsoft.com/office/2007/relationships/hdphoto" Target="../media/hdphoto5.wdp"/><Relationship Id="rId17" Type="http://schemas.openxmlformats.org/officeDocument/2006/relationships/image" Target="../media/image10.png"/><Relationship Id="rId2" Type="http://schemas.openxmlformats.org/officeDocument/2006/relationships/image" Target="../media/image2.png"/><Relationship Id="rId16" Type="http://schemas.microsoft.com/office/2007/relationships/hdphoto" Target="../media/hdphoto7.wdp"/><Relationship Id="rId20" Type="http://schemas.microsoft.com/office/2007/relationships/hdphoto" Target="../media/hdphoto9.wdp"/><Relationship Id="rId1" Type="http://schemas.openxmlformats.org/officeDocument/2006/relationships/image" Target="../media/image1.png"/><Relationship Id="rId6" Type="http://schemas.microsoft.com/office/2007/relationships/hdphoto" Target="../media/hdphoto2.wdp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microsoft.com/office/2007/relationships/hdphoto" Target="../media/hdphoto4.wdp"/><Relationship Id="rId19" Type="http://schemas.openxmlformats.org/officeDocument/2006/relationships/image" Target="../media/image11.png"/><Relationship Id="rId4" Type="http://schemas.microsoft.com/office/2007/relationships/hdphoto" Target="../media/hdphoto1.wdp"/><Relationship Id="rId9" Type="http://schemas.openxmlformats.org/officeDocument/2006/relationships/image" Target="../media/image6.png"/><Relationship Id="rId14" Type="http://schemas.microsoft.com/office/2007/relationships/hdphoto" Target="../media/hdphoto6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20729</xdr:colOff>
      <xdr:row>1</xdr:row>
      <xdr:rowOff>268743</xdr:rowOff>
    </xdr:from>
    <xdr:to>
      <xdr:col>0</xdr:col>
      <xdr:colOff>1805128</xdr:colOff>
      <xdr:row>4</xdr:row>
      <xdr:rowOff>2266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345516-B360-48DA-A14C-BCFD7F34E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354468"/>
          <a:ext cx="1784399" cy="1514698"/>
        </a:xfrm>
        <a:prstGeom prst="rect">
          <a:avLst/>
        </a:prstGeom>
      </xdr:spPr>
    </xdr:pic>
    <xdr:clientData/>
  </xdr:twoCellAnchor>
  <xdr:twoCellAnchor editAs="oneCell">
    <xdr:from>
      <xdr:col>10</xdr:col>
      <xdr:colOff>4712</xdr:colOff>
      <xdr:row>1</xdr:row>
      <xdr:rowOff>119063</xdr:rowOff>
    </xdr:from>
    <xdr:to>
      <xdr:col>10</xdr:col>
      <xdr:colOff>1833560</xdr:colOff>
      <xdr:row>4</xdr:row>
      <xdr:rowOff>190496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1B5578-843C-445F-A7B7-19406F54F3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4997062" y="204788"/>
          <a:ext cx="1828848" cy="1852608"/>
        </a:xfrm>
        <a:prstGeom prst="rect">
          <a:avLst/>
        </a:prstGeom>
      </xdr:spPr>
    </xdr:pic>
    <xdr:clientData/>
  </xdr:twoCellAnchor>
  <xdr:oneCellAnchor>
    <xdr:from>
      <xdr:col>0</xdr:col>
      <xdr:colOff>20729</xdr:colOff>
      <xdr:row>62</xdr:row>
      <xdr:rowOff>268743</xdr:rowOff>
    </xdr:from>
    <xdr:ext cx="1784399" cy="1517194"/>
    <xdr:pic>
      <xdr:nvPicPr>
        <xdr:cNvPr id="4" name="Picture 3">
          <a:extLst>
            <a:ext uri="{FF2B5EF4-FFF2-40B4-BE49-F238E27FC236}">
              <a16:creationId xmlns:a16="http://schemas.microsoft.com/office/drawing/2014/main" id="{27E7A30B-4055-4ED2-9320-CCA98E708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28662768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76140</xdr:colOff>
      <xdr:row>62</xdr:row>
      <xdr:rowOff>119063</xdr:rowOff>
    </xdr:from>
    <xdr:ext cx="1828848" cy="1857371"/>
    <xdr:pic>
      <xdr:nvPicPr>
        <xdr:cNvPr id="5" name="Picture 4">
          <a:extLst>
            <a:ext uri="{FF2B5EF4-FFF2-40B4-BE49-F238E27FC236}">
              <a16:creationId xmlns:a16="http://schemas.microsoft.com/office/drawing/2014/main" id="{7FDD482E-F69F-4C08-89F6-C0EEA76378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68490" y="28513088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123</xdr:row>
      <xdr:rowOff>268743</xdr:rowOff>
    </xdr:from>
    <xdr:ext cx="1784399" cy="1517194"/>
    <xdr:pic>
      <xdr:nvPicPr>
        <xdr:cNvPr id="6" name="Picture 5">
          <a:extLst>
            <a:ext uri="{FF2B5EF4-FFF2-40B4-BE49-F238E27FC236}">
              <a16:creationId xmlns:a16="http://schemas.microsoft.com/office/drawing/2014/main" id="{77664B5B-0A0A-4533-A048-961F8B93B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567710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99963</xdr:colOff>
      <xdr:row>123</xdr:row>
      <xdr:rowOff>119063</xdr:rowOff>
    </xdr:from>
    <xdr:ext cx="1828848" cy="1857371"/>
    <xdr:pic>
      <xdr:nvPicPr>
        <xdr:cNvPr id="7" name="Picture 6">
          <a:extLst>
            <a:ext uri="{FF2B5EF4-FFF2-40B4-BE49-F238E27FC236}">
              <a16:creationId xmlns:a16="http://schemas.microsoft.com/office/drawing/2014/main" id="{F19F2342-B10F-43DF-9980-E8B360BEB5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92313" y="5662136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184</xdr:row>
      <xdr:rowOff>268743</xdr:rowOff>
    </xdr:from>
    <xdr:ext cx="1784399" cy="1517194"/>
    <xdr:pic>
      <xdr:nvPicPr>
        <xdr:cNvPr id="8" name="Picture 7">
          <a:extLst>
            <a:ext uri="{FF2B5EF4-FFF2-40B4-BE49-F238E27FC236}">
              <a16:creationId xmlns:a16="http://schemas.microsoft.com/office/drawing/2014/main" id="{82D2A950-0BEB-46AD-AB42-F720F8D5E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850031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76146</xdr:colOff>
      <xdr:row>184</xdr:row>
      <xdr:rowOff>119063</xdr:rowOff>
    </xdr:from>
    <xdr:ext cx="1828848" cy="1857371"/>
    <xdr:pic>
      <xdr:nvPicPr>
        <xdr:cNvPr id="9" name="Picture 8">
          <a:extLst>
            <a:ext uri="{FF2B5EF4-FFF2-40B4-BE49-F238E27FC236}">
              <a16:creationId xmlns:a16="http://schemas.microsoft.com/office/drawing/2014/main" id="{BF1B5B6D-3D65-464E-A210-E9B7C68CF3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68496" y="8485346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245</xdr:row>
      <xdr:rowOff>268743</xdr:rowOff>
    </xdr:from>
    <xdr:ext cx="1784399" cy="1517194"/>
    <xdr:pic>
      <xdr:nvPicPr>
        <xdr:cNvPr id="10" name="Picture 9">
          <a:extLst>
            <a:ext uri="{FF2B5EF4-FFF2-40B4-BE49-F238E27FC236}">
              <a16:creationId xmlns:a16="http://schemas.microsoft.com/office/drawing/2014/main" id="{0A6199C8-9298-43F4-9786-306A5DA67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11313999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99958</xdr:colOff>
      <xdr:row>245</xdr:row>
      <xdr:rowOff>119063</xdr:rowOff>
    </xdr:from>
    <xdr:ext cx="1828848" cy="1857371"/>
    <xdr:pic>
      <xdr:nvPicPr>
        <xdr:cNvPr id="11" name="Picture 10">
          <a:extLst>
            <a:ext uri="{FF2B5EF4-FFF2-40B4-BE49-F238E27FC236}">
              <a16:creationId xmlns:a16="http://schemas.microsoft.com/office/drawing/2014/main" id="{4EFE4FF9-663E-41B6-95A2-178C6DF2FB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92308" y="11299031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306</xdr:row>
      <xdr:rowOff>268743</xdr:rowOff>
    </xdr:from>
    <xdr:ext cx="1784399" cy="1517194"/>
    <xdr:pic>
      <xdr:nvPicPr>
        <xdr:cNvPr id="12" name="Picture 11">
          <a:extLst>
            <a:ext uri="{FF2B5EF4-FFF2-40B4-BE49-F238E27FC236}">
              <a16:creationId xmlns:a16="http://schemas.microsoft.com/office/drawing/2014/main" id="{BC7B3BFC-A10C-4628-9C09-53761D8FB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1412768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28518</xdr:colOff>
      <xdr:row>306</xdr:row>
      <xdr:rowOff>119063</xdr:rowOff>
    </xdr:from>
    <xdr:ext cx="1828848" cy="1857371"/>
    <xdr:pic>
      <xdr:nvPicPr>
        <xdr:cNvPr id="13" name="Picture 12">
          <a:extLst>
            <a:ext uri="{FF2B5EF4-FFF2-40B4-BE49-F238E27FC236}">
              <a16:creationId xmlns:a16="http://schemas.microsoft.com/office/drawing/2014/main" id="{61C9AEC2-EC02-46C6-9879-4A0B47CEE3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20868" y="14112716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367</xdr:row>
      <xdr:rowOff>268743</xdr:rowOff>
    </xdr:from>
    <xdr:ext cx="1784399" cy="1517194"/>
    <xdr:pic>
      <xdr:nvPicPr>
        <xdr:cNvPr id="14" name="Picture 13">
          <a:extLst>
            <a:ext uri="{FF2B5EF4-FFF2-40B4-BE49-F238E27FC236}">
              <a16:creationId xmlns:a16="http://schemas.microsoft.com/office/drawing/2014/main" id="{B7E520FA-648E-4AE0-9C93-5D43D3FE4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1695089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99962</xdr:colOff>
      <xdr:row>367</xdr:row>
      <xdr:rowOff>119063</xdr:rowOff>
    </xdr:from>
    <xdr:ext cx="1828848" cy="1857371"/>
    <xdr:pic>
      <xdr:nvPicPr>
        <xdr:cNvPr id="15" name="Picture 14">
          <a:extLst>
            <a:ext uri="{FF2B5EF4-FFF2-40B4-BE49-F238E27FC236}">
              <a16:creationId xmlns:a16="http://schemas.microsoft.com/office/drawing/2014/main" id="{A3D50843-FB60-4D82-9705-471746AEBE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92312" y="16935926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428</xdr:row>
      <xdr:rowOff>268743</xdr:rowOff>
    </xdr:from>
    <xdr:ext cx="1784399" cy="1517194"/>
    <xdr:pic>
      <xdr:nvPicPr>
        <xdr:cNvPr id="16" name="Picture 15">
          <a:extLst>
            <a:ext uri="{FF2B5EF4-FFF2-40B4-BE49-F238E27FC236}">
              <a16:creationId xmlns:a16="http://schemas.microsoft.com/office/drawing/2014/main" id="{0F361D6D-0785-401F-A935-47F8BFC91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1977410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99962</xdr:colOff>
      <xdr:row>428</xdr:row>
      <xdr:rowOff>119063</xdr:rowOff>
    </xdr:from>
    <xdr:ext cx="1828848" cy="1857371"/>
    <xdr:pic>
      <xdr:nvPicPr>
        <xdr:cNvPr id="17" name="Picture 16">
          <a:extLst>
            <a:ext uri="{FF2B5EF4-FFF2-40B4-BE49-F238E27FC236}">
              <a16:creationId xmlns:a16="http://schemas.microsoft.com/office/drawing/2014/main" id="{372A2FBB-1AA6-455B-92EA-D4261BCF5F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92312" y="19759136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489</xdr:row>
      <xdr:rowOff>268743</xdr:rowOff>
    </xdr:from>
    <xdr:ext cx="1784399" cy="1517194"/>
    <xdr:pic>
      <xdr:nvPicPr>
        <xdr:cNvPr id="18" name="Picture 17">
          <a:extLst>
            <a:ext uri="{FF2B5EF4-FFF2-40B4-BE49-F238E27FC236}">
              <a16:creationId xmlns:a16="http://schemas.microsoft.com/office/drawing/2014/main" id="{54314146-AC05-44EC-AF6E-92F4F62B4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2259731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99958</xdr:colOff>
      <xdr:row>489</xdr:row>
      <xdr:rowOff>119063</xdr:rowOff>
    </xdr:from>
    <xdr:ext cx="1828848" cy="1857371"/>
    <xdr:pic>
      <xdr:nvPicPr>
        <xdr:cNvPr id="19" name="Picture 18">
          <a:extLst>
            <a:ext uri="{FF2B5EF4-FFF2-40B4-BE49-F238E27FC236}">
              <a16:creationId xmlns:a16="http://schemas.microsoft.com/office/drawing/2014/main" id="{DB2D9117-B903-44BC-8DA7-A88BCFF758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92308" y="22582346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550</xdr:row>
      <xdr:rowOff>268743</xdr:rowOff>
    </xdr:from>
    <xdr:ext cx="1784399" cy="1517194"/>
    <xdr:pic>
      <xdr:nvPicPr>
        <xdr:cNvPr id="20" name="Picture 19">
          <a:extLst>
            <a:ext uri="{FF2B5EF4-FFF2-40B4-BE49-F238E27FC236}">
              <a16:creationId xmlns:a16="http://schemas.microsoft.com/office/drawing/2014/main" id="{C42433E0-BD48-4154-865C-FC8CD884B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25460529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123770</xdr:colOff>
      <xdr:row>550</xdr:row>
      <xdr:rowOff>119063</xdr:rowOff>
    </xdr:from>
    <xdr:ext cx="1828848" cy="1857371"/>
    <xdr:pic>
      <xdr:nvPicPr>
        <xdr:cNvPr id="21" name="Picture 20">
          <a:extLst>
            <a:ext uri="{FF2B5EF4-FFF2-40B4-BE49-F238E27FC236}">
              <a16:creationId xmlns:a16="http://schemas.microsoft.com/office/drawing/2014/main" id="{6CD3EDEC-DF21-4ADB-B96A-0901AAD200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116120" y="25445561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550</xdr:row>
      <xdr:rowOff>268743</xdr:rowOff>
    </xdr:from>
    <xdr:ext cx="1784399" cy="1517194"/>
    <xdr:pic>
      <xdr:nvPicPr>
        <xdr:cNvPr id="22" name="Picture 21">
          <a:extLst>
            <a:ext uri="{FF2B5EF4-FFF2-40B4-BE49-F238E27FC236}">
              <a16:creationId xmlns:a16="http://schemas.microsoft.com/office/drawing/2014/main" id="{1E847E33-EB99-47A9-BA19-83403C1FC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254605293"/>
          <a:ext cx="1784399" cy="1517194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610</xdr:row>
      <xdr:rowOff>268743</xdr:rowOff>
    </xdr:from>
    <xdr:ext cx="1784399" cy="1517194"/>
    <xdr:pic>
      <xdr:nvPicPr>
        <xdr:cNvPr id="23" name="Picture 22">
          <a:extLst>
            <a:ext uri="{FF2B5EF4-FFF2-40B4-BE49-F238E27FC236}">
              <a16:creationId xmlns:a16="http://schemas.microsoft.com/office/drawing/2014/main" id="{3F16F7F6-B653-43AA-8BEA-77DD9C600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2827421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76145</xdr:colOff>
      <xdr:row>610</xdr:row>
      <xdr:rowOff>119063</xdr:rowOff>
    </xdr:from>
    <xdr:ext cx="1828848" cy="1857371"/>
    <xdr:pic>
      <xdr:nvPicPr>
        <xdr:cNvPr id="24" name="Picture 23">
          <a:extLst>
            <a:ext uri="{FF2B5EF4-FFF2-40B4-BE49-F238E27FC236}">
              <a16:creationId xmlns:a16="http://schemas.microsoft.com/office/drawing/2014/main" id="{DA321ED1-76FF-4D09-90E5-2E5A4AADC2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68495" y="28259246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670</xdr:row>
      <xdr:rowOff>268743</xdr:rowOff>
    </xdr:from>
    <xdr:ext cx="1784399" cy="1517194"/>
    <xdr:pic>
      <xdr:nvPicPr>
        <xdr:cNvPr id="25" name="Picture 24">
          <a:extLst>
            <a:ext uri="{FF2B5EF4-FFF2-40B4-BE49-F238E27FC236}">
              <a16:creationId xmlns:a16="http://schemas.microsoft.com/office/drawing/2014/main" id="{22181DC3-7937-4025-B06F-5AD47A304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310945668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76146</xdr:colOff>
      <xdr:row>670</xdr:row>
      <xdr:rowOff>119063</xdr:rowOff>
    </xdr:from>
    <xdr:ext cx="1828848" cy="1857371"/>
    <xdr:pic>
      <xdr:nvPicPr>
        <xdr:cNvPr id="26" name="Picture 25">
          <a:extLst>
            <a:ext uri="{FF2B5EF4-FFF2-40B4-BE49-F238E27FC236}">
              <a16:creationId xmlns:a16="http://schemas.microsoft.com/office/drawing/2014/main" id="{7945CA37-739E-461E-91ED-9FDDAA6BA6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68496" y="310795988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730</xdr:row>
      <xdr:rowOff>268743</xdr:rowOff>
    </xdr:from>
    <xdr:ext cx="1784399" cy="1517194"/>
    <xdr:pic>
      <xdr:nvPicPr>
        <xdr:cNvPr id="27" name="Picture 26">
          <a:extLst>
            <a:ext uri="{FF2B5EF4-FFF2-40B4-BE49-F238E27FC236}">
              <a16:creationId xmlns:a16="http://schemas.microsoft.com/office/drawing/2014/main" id="{7E8DD138-17F8-4D2C-857D-48BD35A9A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339082518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52332</xdr:colOff>
      <xdr:row>730</xdr:row>
      <xdr:rowOff>119063</xdr:rowOff>
    </xdr:from>
    <xdr:ext cx="1828848" cy="1857371"/>
    <xdr:pic>
      <xdr:nvPicPr>
        <xdr:cNvPr id="28" name="Picture 27">
          <a:extLst>
            <a:ext uri="{FF2B5EF4-FFF2-40B4-BE49-F238E27FC236}">
              <a16:creationId xmlns:a16="http://schemas.microsoft.com/office/drawing/2014/main" id="{9358B51F-2E87-4652-B82C-FF8DBEC83C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44682" y="338932838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790</xdr:row>
      <xdr:rowOff>268743</xdr:rowOff>
    </xdr:from>
    <xdr:ext cx="1784399" cy="1517194"/>
    <xdr:pic>
      <xdr:nvPicPr>
        <xdr:cNvPr id="29" name="Picture 28">
          <a:extLst>
            <a:ext uri="{FF2B5EF4-FFF2-40B4-BE49-F238E27FC236}">
              <a16:creationId xmlns:a16="http://schemas.microsoft.com/office/drawing/2014/main" id="{FDEA6F0C-6F39-43E7-A190-E486BF2F8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36719079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99960</xdr:colOff>
      <xdr:row>790</xdr:row>
      <xdr:rowOff>119063</xdr:rowOff>
    </xdr:from>
    <xdr:ext cx="1828848" cy="1857371"/>
    <xdr:pic>
      <xdr:nvPicPr>
        <xdr:cNvPr id="30" name="Picture 29">
          <a:extLst>
            <a:ext uri="{FF2B5EF4-FFF2-40B4-BE49-F238E27FC236}">
              <a16:creationId xmlns:a16="http://schemas.microsoft.com/office/drawing/2014/main" id="{9C4C14C7-9EE5-49C2-924B-0AC7720D96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92310" y="36704111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850</xdr:row>
      <xdr:rowOff>268743</xdr:rowOff>
    </xdr:from>
    <xdr:ext cx="1784399" cy="1517194"/>
    <xdr:pic>
      <xdr:nvPicPr>
        <xdr:cNvPr id="31" name="Picture 30">
          <a:extLst>
            <a:ext uri="{FF2B5EF4-FFF2-40B4-BE49-F238E27FC236}">
              <a16:creationId xmlns:a16="http://schemas.microsoft.com/office/drawing/2014/main" id="{49C4466A-743A-4814-9115-70E685434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395299068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123774</xdr:colOff>
      <xdr:row>850</xdr:row>
      <xdr:rowOff>119063</xdr:rowOff>
    </xdr:from>
    <xdr:ext cx="1828848" cy="1857371"/>
    <xdr:pic>
      <xdr:nvPicPr>
        <xdr:cNvPr id="32" name="Picture 31">
          <a:extLst>
            <a:ext uri="{FF2B5EF4-FFF2-40B4-BE49-F238E27FC236}">
              <a16:creationId xmlns:a16="http://schemas.microsoft.com/office/drawing/2014/main" id="{6415579E-16D4-4EF2-B329-13BD031F28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116124" y="395149388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910</xdr:row>
      <xdr:rowOff>268743</xdr:rowOff>
    </xdr:from>
    <xdr:ext cx="1784399" cy="1517194"/>
    <xdr:pic>
      <xdr:nvPicPr>
        <xdr:cNvPr id="33" name="Picture 32">
          <a:extLst>
            <a:ext uri="{FF2B5EF4-FFF2-40B4-BE49-F238E27FC236}">
              <a16:creationId xmlns:a16="http://schemas.microsoft.com/office/drawing/2014/main" id="{9AD0D8C3-FB18-48BB-9137-DF3854A49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423531168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99962</xdr:colOff>
      <xdr:row>910</xdr:row>
      <xdr:rowOff>119063</xdr:rowOff>
    </xdr:from>
    <xdr:ext cx="1828848" cy="1857371"/>
    <xdr:pic>
      <xdr:nvPicPr>
        <xdr:cNvPr id="34" name="Picture 33">
          <a:extLst>
            <a:ext uri="{FF2B5EF4-FFF2-40B4-BE49-F238E27FC236}">
              <a16:creationId xmlns:a16="http://schemas.microsoft.com/office/drawing/2014/main" id="{228DB17D-C616-486A-9B0F-4F1A704405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92312" y="423381488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970</xdr:row>
      <xdr:rowOff>268743</xdr:rowOff>
    </xdr:from>
    <xdr:ext cx="1784399" cy="1517194"/>
    <xdr:pic>
      <xdr:nvPicPr>
        <xdr:cNvPr id="35" name="Picture 34">
          <a:extLst>
            <a:ext uri="{FF2B5EF4-FFF2-40B4-BE49-F238E27FC236}">
              <a16:creationId xmlns:a16="http://schemas.microsoft.com/office/drawing/2014/main" id="{C29DA5BB-4939-4629-9361-D8FCA2050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451763268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52333</xdr:colOff>
      <xdr:row>970</xdr:row>
      <xdr:rowOff>119063</xdr:rowOff>
    </xdr:from>
    <xdr:ext cx="1828848" cy="1857371"/>
    <xdr:pic>
      <xdr:nvPicPr>
        <xdr:cNvPr id="36" name="Picture 35">
          <a:extLst>
            <a:ext uri="{FF2B5EF4-FFF2-40B4-BE49-F238E27FC236}">
              <a16:creationId xmlns:a16="http://schemas.microsoft.com/office/drawing/2014/main" id="{BEF89284-7DB1-4594-B35F-DD8262E6DA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44683" y="451613588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1030</xdr:row>
      <xdr:rowOff>268743</xdr:rowOff>
    </xdr:from>
    <xdr:ext cx="1784399" cy="1517194"/>
    <xdr:pic>
      <xdr:nvPicPr>
        <xdr:cNvPr id="37" name="Picture 36">
          <a:extLst>
            <a:ext uri="{FF2B5EF4-FFF2-40B4-BE49-F238E27FC236}">
              <a16:creationId xmlns:a16="http://schemas.microsoft.com/office/drawing/2014/main" id="{A528D088-5411-4B52-9358-0453D5C66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479995368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76148</xdr:colOff>
      <xdr:row>1030</xdr:row>
      <xdr:rowOff>119063</xdr:rowOff>
    </xdr:from>
    <xdr:ext cx="1828848" cy="1857371"/>
    <xdr:pic>
      <xdr:nvPicPr>
        <xdr:cNvPr id="38" name="Picture 37">
          <a:extLst>
            <a:ext uri="{FF2B5EF4-FFF2-40B4-BE49-F238E27FC236}">
              <a16:creationId xmlns:a16="http://schemas.microsoft.com/office/drawing/2014/main" id="{B4A09525-5C82-4801-B0CD-065E934E10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68498" y="479845688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1090</xdr:row>
      <xdr:rowOff>268743</xdr:rowOff>
    </xdr:from>
    <xdr:ext cx="1784399" cy="1517194"/>
    <xdr:pic>
      <xdr:nvPicPr>
        <xdr:cNvPr id="39" name="Picture 38">
          <a:extLst>
            <a:ext uri="{FF2B5EF4-FFF2-40B4-BE49-F238E27FC236}">
              <a16:creationId xmlns:a16="http://schemas.microsoft.com/office/drawing/2014/main" id="{0947D581-F5F7-4C4A-968C-0FE642A99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5081036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123770</xdr:colOff>
      <xdr:row>1090</xdr:row>
      <xdr:rowOff>119063</xdr:rowOff>
    </xdr:from>
    <xdr:ext cx="1828848" cy="1857371"/>
    <xdr:pic>
      <xdr:nvPicPr>
        <xdr:cNvPr id="40" name="Picture 39">
          <a:extLst>
            <a:ext uri="{FF2B5EF4-FFF2-40B4-BE49-F238E27FC236}">
              <a16:creationId xmlns:a16="http://schemas.microsoft.com/office/drawing/2014/main" id="{54CC9F8E-55A8-4341-9AB3-06DD1861CA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116120" y="507953963"/>
          <a:ext cx="1828848" cy="1857371"/>
        </a:xfrm>
        <a:prstGeom prst="rect">
          <a:avLst/>
        </a:prstGeom>
      </xdr:spPr>
    </xdr:pic>
    <xdr:clientData/>
  </xdr:oneCellAnchor>
  <xdr:twoCellAnchor editAs="oneCell">
    <xdr:from>
      <xdr:col>2</xdr:col>
      <xdr:colOff>63500</xdr:colOff>
      <xdr:row>60</xdr:row>
      <xdr:rowOff>158750</xdr:rowOff>
    </xdr:from>
    <xdr:to>
      <xdr:col>3</xdr:col>
      <xdr:colOff>984250</xdr:colOff>
      <xdr:row>60</xdr:row>
      <xdr:rowOff>571500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AC07283A-44D8-43AB-A709-B997718061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27562175"/>
          <a:ext cx="1835150" cy="412750"/>
        </a:xfrm>
        <a:prstGeom prst="rect">
          <a:avLst/>
        </a:prstGeom>
      </xdr:spPr>
    </xdr:pic>
    <xdr:clientData/>
  </xdr:twoCellAnchor>
  <xdr:twoCellAnchor editAs="oneCell">
    <xdr:from>
      <xdr:col>1</xdr:col>
      <xdr:colOff>1070607</xdr:colOff>
      <xdr:row>57</xdr:row>
      <xdr:rowOff>18363</xdr:rowOff>
    </xdr:from>
    <xdr:to>
      <xdr:col>3</xdr:col>
      <xdr:colOff>698501</xdr:colOff>
      <xdr:row>58</xdr:row>
      <xdr:rowOff>63526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F82220CD-8893-4688-98EF-DA505085BD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26078763"/>
          <a:ext cx="1751969" cy="588088"/>
        </a:xfrm>
        <a:prstGeom prst="rect">
          <a:avLst/>
        </a:prstGeom>
      </xdr:spPr>
    </xdr:pic>
    <xdr:clientData/>
  </xdr:twoCellAnchor>
  <xdr:oneCellAnchor>
    <xdr:from>
      <xdr:col>2</xdr:col>
      <xdr:colOff>63500</xdr:colOff>
      <xdr:row>121</xdr:row>
      <xdr:rowOff>95250</xdr:rowOff>
    </xdr:from>
    <xdr:ext cx="1825625" cy="468312"/>
    <xdr:pic>
      <xdr:nvPicPr>
        <xdr:cNvPr id="43" name="Picture 42">
          <a:extLst>
            <a:ext uri="{FF2B5EF4-FFF2-40B4-BE49-F238E27FC236}">
              <a16:creationId xmlns:a16="http://schemas.microsoft.com/office/drawing/2014/main" id="{F9B27F88-613E-4570-B8AA-3407279E55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55683150"/>
          <a:ext cx="1825625" cy="468312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118</xdr:row>
      <xdr:rowOff>18363</xdr:rowOff>
    </xdr:from>
    <xdr:ext cx="1747206" cy="592850"/>
    <xdr:pic>
      <xdr:nvPicPr>
        <xdr:cNvPr id="44" name="Picture 43">
          <a:extLst>
            <a:ext uri="{FF2B5EF4-FFF2-40B4-BE49-F238E27FC236}">
              <a16:creationId xmlns:a16="http://schemas.microsoft.com/office/drawing/2014/main" id="{6160C886-C0D0-4730-9E6F-6F64BD2AC4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5426323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182</xdr:row>
      <xdr:rowOff>31750</xdr:rowOff>
    </xdr:from>
    <xdr:ext cx="1825625" cy="531812"/>
    <xdr:pic>
      <xdr:nvPicPr>
        <xdr:cNvPr id="45" name="Picture 44">
          <a:extLst>
            <a:ext uri="{FF2B5EF4-FFF2-40B4-BE49-F238E27FC236}">
              <a16:creationId xmlns:a16="http://schemas.microsoft.com/office/drawing/2014/main" id="{992F0A10-242F-41DE-97BA-E394A8099B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83851750"/>
          <a:ext cx="1825625" cy="531812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179</xdr:row>
      <xdr:rowOff>18363</xdr:rowOff>
    </xdr:from>
    <xdr:ext cx="1747206" cy="592850"/>
    <xdr:pic>
      <xdr:nvPicPr>
        <xdr:cNvPr id="46" name="Picture 45">
          <a:extLst>
            <a:ext uri="{FF2B5EF4-FFF2-40B4-BE49-F238E27FC236}">
              <a16:creationId xmlns:a16="http://schemas.microsoft.com/office/drawing/2014/main" id="{62172754-C0C0-4788-B996-C03A429B92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8249533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243</xdr:row>
      <xdr:rowOff>63500</xdr:rowOff>
    </xdr:from>
    <xdr:ext cx="1825625" cy="500062"/>
    <xdr:pic>
      <xdr:nvPicPr>
        <xdr:cNvPr id="47" name="Picture 46">
          <a:extLst>
            <a:ext uri="{FF2B5EF4-FFF2-40B4-BE49-F238E27FC236}">
              <a16:creationId xmlns:a16="http://schemas.microsoft.com/office/drawing/2014/main" id="{587CFE47-CA28-4082-A647-B1142268F0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112020350"/>
          <a:ext cx="1825625" cy="500062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240</xdr:row>
      <xdr:rowOff>18363</xdr:rowOff>
    </xdr:from>
    <xdr:ext cx="1747206" cy="592850"/>
    <xdr:pic>
      <xdr:nvPicPr>
        <xdr:cNvPr id="48" name="Picture 47">
          <a:extLst>
            <a:ext uri="{FF2B5EF4-FFF2-40B4-BE49-F238E27FC236}">
              <a16:creationId xmlns:a16="http://schemas.microsoft.com/office/drawing/2014/main" id="{9CAE99E8-29D8-43C1-9193-44B07C2BF6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11063218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304</xdr:row>
      <xdr:rowOff>127000</xdr:rowOff>
    </xdr:from>
    <xdr:ext cx="1825625" cy="436562"/>
    <xdr:pic>
      <xdr:nvPicPr>
        <xdr:cNvPr id="49" name="Picture 48">
          <a:extLst>
            <a:ext uri="{FF2B5EF4-FFF2-40B4-BE49-F238E27FC236}">
              <a16:creationId xmlns:a16="http://schemas.microsoft.com/office/drawing/2014/main" id="{9CAADC23-5D18-4C2E-9E83-B2BCBD1442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140220700"/>
          <a:ext cx="1825625" cy="436562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301</xdr:row>
      <xdr:rowOff>18363</xdr:rowOff>
    </xdr:from>
    <xdr:ext cx="1747206" cy="592850"/>
    <xdr:pic>
      <xdr:nvPicPr>
        <xdr:cNvPr id="50" name="Picture 49">
          <a:extLst>
            <a:ext uri="{FF2B5EF4-FFF2-40B4-BE49-F238E27FC236}">
              <a16:creationId xmlns:a16="http://schemas.microsoft.com/office/drawing/2014/main" id="{0F59931F-6FB7-4DCA-B009-80B6684F7F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13876903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365</xdr:row>
      <xdr:rowOff>95250</xdr:rowOff>
    </xdr:from>
    <xdr:ext cx="1825625" cy="468312"/>
    <xdr:pic>
      <xdr:nvPicPr>
        <xdr:cNvPr id="51" name="Picture 50">
          <a:extLst>
            <a:ext uri="{FF2B5EF4-FFF2-40B4-BE49-F238E27FC236}">
              <a16:creationId xmlns:a16="http://schemas.microsoft.com/office/drawing/2014/main" id="{EDAA915A-444D-4731-A683-73F08E7933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168421050"/>
          <a:ext cx="1825625" cy="468312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362</xdr:row>
      <xdr:rowOff>18363</xdr:rowOff>
    </xdr:from>
    <xdr:ext cx="1747206" cy="592850"/>
    <xdr:pic>
      <xdr:nvPicPr>
        <xdr:cNvPr id="52" name="Picture 51">
          <a:extLst>
            <a:ext uri="{FF2B5EF4-FFF2-40B4-BE49-F238E27FC236}">
              <a16:creationId xmlns:a16="http://schemas.microsoft.com/office/drawing/2014/main" id="{803DD9A1-657E-450C-8859-7400046533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16700113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426</xdr:row>
      <xdr:rowOff>-1</xdr:rowOff>
    </xdr:from>
    <xdr:ext cx="1825625" cy="571500"/>
    <xdr:pic>
      <xdr:nvPicPr>
        <xdr:cNvPr id="53" name="Picture 52">
          <a:extLst>
            <a:ext uri="{FF2B5EF4-FFF2-40B4-BE49-F238E27FC236}">
              <a16:creationId xmlns:a16="http://schemas.microsoft.com/office/drawing/2014/main" id="{1431CD05-BDEC-428D-8CA1-37D02257BC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196557899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423</xdr:row>
      <xdr:rowOff>18363</xdr:rowOff>
    </xdr:from>
    <xdr:ext cx="1747206" cy="592850"/>
    <xdr:pic>
      <xdr:nvPicPr>
        <xdr:cNvPr id="54" name="Picture 53">
          <a:extLst>
            <a:ext uri="{FF2B5EF4-FFF2-40B4-BE49-F238E27FC236}">
              <a16:creationId xmlns:a16="http://schemas.microsoft.com/office/drawing/2014/main" id="{B36A9EBB-72D9-49FD-AD27-ED9F5CCC04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19523323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487</xdr:row>
      <xdr:rowOff>-1</xdr:rowOff>
    </xdr:from>
    <xdr:ext cx="1825625" cy="571500"/>
    <xdr:pic>
      <xdr:nvPicPr>
        <xdr:cNvPr id="55" name="Picture 54">
          <a:extLst>
            <a:ext uri="{FF2B5EF4-FFF2-40B4-BE49-F238E27FC236}">
              <a16:creationId xmlns:a16="http://schemas.microsoft.com/office/drawing/2014/main" id="{BD0A2DBD-A179-4228-BC63-A39AECF67D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224789999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484</xdr:row>
      <xdr:rowOff>18363</xdr:rowOff>
    </xdr:from>
    <xdr:ext cx="1747206" cy="592850"/>
    <xdr:pic>
      <xdr:nvPicPr>
        <xdr:cNvPr id="56" name="Picture 55">
          <a:extLst>
            <a:ext uri="{FF2B5EF4-FFF2-40B4-BE49-F238E27FC236}">
              <a16:creationId xmlns:a16="http://schemas.microsoft.com/office/drawing/2014/main" id="{E42BADA5-4D8B-4720-A3ED-85F8741C00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22346533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548</xdr:row>
      <xdr:rowOff>-1</xdr:rowOff>
    </xdr:from>
    <xdr:ext cx="1825625" cy="571500"/>
    <xdr:pic>
      <xdr:nvPicPr>
        <xdr:cNvPr id="57" name="Picture 56">
          <a:extLst>
            <a:ext uri="{FF2B5EF4-FFF2-40B4-BE49-F238E27FC236}">
              <a16:creationId xmlns:a16="http://schemas.microsoft.com/office/drawing/2014/main" id="{D09885F4-D9A9-493E-BA12-E6889417EF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253422149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545</xdr:row>
      <xdr:rowOff>18363</xdr:rowOff>
    </xdr:from>
    <xdr:ext cx="1747206" cy="592850"/>
    <xdr:pic>
      <xdr:nvPicPr>
        <xdr:cNvPr id="58" name="Picture 57">
          <a:extLst>
            <a:ext uri="{FF2B5EF4-FFF2-40B4-BE49-F238E27FC236}">
              <a16:creationId xmlns:a16="http://schemas.microsoft.com/office/drawing/2014/main" id="{CA31EE2C-25B2-485B-82C2-4197C70B85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25169743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608</xdr:row>
      <xdr:rowOff>126999</xdr:rowOff>
    </xdr:from>
    <xdr:ext cx="1825625" cy="444499"/>
    <xdr:pic>
      <xdr:nvPicPr>
        <xdr:cNvPr id="59" name="Picture 58">
          <a:extLst>
            <a:ext uri="{FF2B5EF4-FFF2-40B4-BE49-F238E27FC236}">
              <a16:creationId xmlns:a16="http://schemas.microsoft.com/office/drawing/2014/main" id="{F6A4C4C4-602E-4E6D-AFDD-8139BCC991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281685999"/>
          <a:ext cx="1825625" cy="444499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605</xdr:row>
      <xdr:rowOff>18363</xdr:rowOff>
    </xdr:from>
    <xdr:ext cx="1747206" cy="592850"/>
    <xdr:pic>
      <xdr:nvPicPr>
        <xdr:cNvPr id="60" name="Picture 59">
          <a:extLst>
            <a:ext uri="{FF2B5EF4-FFF2-40B4-BE49-F238E27FC236}">
              <a16:creationId xmlns:a16="http://schemas.microsoft.com/office/drawing/2014/main" id="{6BCEF38D-F828-48CB-9FA4-C0D74EDC22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28023433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668</xdr:row>
      <xdr:rowOff>-1</xdr:rowOff>
    </xdr:from>
    <xdr:ext cx="1825625" cy="571500"/>
    <xdr:pic>
      <xdr:nvPicPr>
        <xdr:cNvPr id="61" name="Picture 60">
          <a:extLst>
            <a:ext uri="{FF2B5EF4-FFF2-40B4-BE49-F238E27FC236}">
              <a16:creationId xmlns:a16="http://schemas.microsoft.com/office/drawing/2014/main" id="{9F268ADF-B6F0-414B-AA40-6C64D759CE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309762524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665</xdr:row>
      <xdr:rowOff>18363</xdr:rowOff>
    </xdr:from>
    <xdr:ext cx="1747206" cy="592850"/>
    <xdr:pic>
      <xdr:nvPicPr>
        <xdr:cNvPr id="62" name="Picture 61">
          <a:extLst>
            <a:ext uri="{FF2B5EF4-FFF2-40B4-BE49-F238E27FC236}">
              <a16:creationId xmlns:a16="http://schemas.microsoft.com/office/drawing/2014/main" id="{98356E4D-9631-4BC6-8DBA-24BE3BEB17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308437863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728</xdr:row>
      <xdr:rowOff>-1</xdr:rowOff>
    </xdr:from>
    <xdr:ext cx="1825625" cy="571500"/>
    <xdr:pic>
      <xdr:nvPicPr>
        <xdr:cNvPr id="63" name="Picture 62">
          <a:extLst>
            <a:ext uri="{FF2B5EF4-FFF2-40B4-BE49-F238E27FC236}">
              <a16:creationId xmlns:a16="http://schemas.microsoft.com/office/drawing/2014/main" id="{CEF8A03F-488B-4B29-A8D6-71213CA642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337899374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725</xdr:row>
      <xdr:rowOff>18363</xdr:rowOff>
    </xdr:from>
    <xdr:ext cx="1747206" cy="592850"/>
    <xdr:pic>
      <xdr:nvPicPr>
        <xdr:cNvPr id="64" name="Picture 63">
          <a:extLst>
            <a:ext uri="{FF2B5EF4-FFF2-40B4-BE49-F238E27FC236}">
              <a16:creationId xmlns:a16="http://schemas.microsoft.com/office/drawing/2014/main" id="{8A0920EE-6140-4D52-ADAD-16C89CF1EF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336574713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788</xdr:row>
      <xdr:rowOff>-1</xdr:rowOff>
    </xdr:from>
    <xdr:ext cx="1825625" cy="571500"/>
    <xdr:pic>
      <xdr:nvPicPr>
        <xdr:cNvPr id="65" name="Picture 64">
          <a:extLst>
            <a:ext uri="{FF2B5EF4-FFF2-40B4-BE49-F238E27FC236}">
              <a16:creationId xmlns:a16="http://schemas.microsoft.com/office/drawing/2014/main" id="{B37AB9AF-374C-4A98-AAED-A4ED00C0B9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366007649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785</xdr:row>
      <xdr:rowOff>18363</xdr:rowOff>
    </xdr:from>
    <xdr:ext cx="1747206" cy="592850"/>
    <xdr:pic>
      <xdr:nvPicPr>
        <xdr:cNvPr id="66" name="Picture 65">
          <a:extLst>
            <a:ext uri="{FF2B5EF4-FFF2-40B4-BE49-F238E27FC236}">
              <a16:creationId xmlns:a16="http://schemas.microsoft.com/office/drawing/2014/main" id="{F6ACCF0B-4A07-4ADC-B8F0-A71C72AD85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36468298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848</xdr:row>
      <xdr:rowOff>-1</xdr:rowOff>
    </xdr:from>
    <xdr:ext cx="1825625" cy="571500"/>
    <xdr:pic>
      <xdr:nvPicPr>
        <xdr:cNvPr id="67" name="Picture 66">
          <a:extLst>
            <a:ext uri="{FF2B5EF4-FFF2-40B4-BE49-F238E27FC236}">
              <a16:creationId xmlns:a16="http://schemas.microsoft.com/office/drawing/2014/main" id="{9DB9DE90-0356-484D-922A-56CABF1416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394115924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845</xdr:row>
      <xdr:rowOff>18363</xdr:rowOff>
    </xdr:from>
    <xdr:ext cx="1747206" cy="592850"/>
    <xdr:pic>
      <xdr:nvPicPr>
        <xdr:cNvPr id="68" name="Picture 67">
          <a:extLst>
            <a:ext uri="{FF2B5EF4-FFF2-40B4-BE49-F238E27FC236}">
              <a16:creationId xmlns:a16="http://schemas.microsoft.com/office/drawing/2014/main" id="{08C1997B-B5C4-4867-A7AE-A23CFA212E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392791263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908</xdr:row>
      <xdr:rowOff>95249</xdr:rowOff>
    </xdr:from>
    <xdr:ext cx="1825625" cy="476249"/>
    <xdr:pic>
      <xdr:nvPicPr>
        <xdr:cNvPr id="69" name="Picture 68">
          <a:extLst>
            <a:ext uri="{FF2B5EF4-FFF2-40B4-BE49-F238E27FC236}">
              <a16:creationId xmlns:a16="http://schemas.microsoft.com/office/drawing/2014/main" id="{1DC9BD1E-3B3E-4C43-B0A8-BEC93D3346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422443274"/>
          <a:ext cx="1825625" cy="476249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905</xdr:row>
      <xdr:rowOff>18363</xdr:rowOff>
    </xdr:from>
    <xdr:ext cx="1747206" cy="592850"/>
    <xdr:pic>
      <xdr:nvPicPr>
        <xdr:cNvPr id="70" name="Picture 69">
          <a:extLst>
            <a:ext uri="{FF2B5EF4-FFF2-40B4-BE49-F238E27FC236}">
              <a16:creationId xmlns:a16="http://schemas.microsoft.com/office/drawing/2014/main" id="{B10A40EE-EC4A-4D74-9F0F-482DA5A866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21023363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968</xdr:row>
      <xdr:rowOff>-1</xdr:rowOff>
    </xdr:from>
    <xdr:ext cx="1825625" cy="571500"/>
    <xdr:pic>
      <xdr:nvPicPr>
        <xdr:cNvPr id="71" name="Picture 70">
          <a:extLst>
            <a:ext uri="{FF2B5EF4-FFF2-40B4-BE49-F238E27FC236}">
              <a16:creationId xmlns:a16="http://schemas.microsoft.com/office/drawing/2014/main" id="{3907F034-560F-4EAD-86CB-385A509C0B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450580124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965</xdr:row>
      <xdr:rowOff>18363</xdr:rowOff>
    </xdr:from>
    <xdr:ext cx="1747206" cy="592850"/>
    <xdr:pic>
      <xdr:nvPicPr>
        <xdr:cNvPr id="72" name="Picture 71">
          <a:extLst>
            <a:ext uri="{FF2B5EF4-FFF2-40B4-BE49-F238E27FC236}">
              <a16:creationId xmlns:a16="http://schemas.microsoft.com/office/drawing/2014/main" id="{A61BE9DD-F1D4-4A68-8AC9-4737F31215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49255463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1028</xdr:row>
      <xdr:rowOff>-1</xdr:rowOff>
    </xdr:from>
    <xdr:ext cx="1825625" cy="571500"/>
    <xdr:pic>
      <xdr:nvPicPr>
        <xdr:cNvPr id="73" name="Picture 72">
          <a:extLst>
            <a:ext uri="{FF2B5EF4-FFF2-40B4-BE49-F238E27FC236}">
              <a16:creationId xmlns:a16="http://schemas.microsoft.com/office/drawing/2014/main" id="{C510D68F-4B33-436B-9E0E-7A25685DA6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478812224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1025</xdr:row>
      <xdr:rowOff>18363</xdr:rowOff>
    </xdr:from>
    <xdr:ext cx="1747206" cy="592850"/>
    <xdr:pic>
      <xdr:nvPicPr>
        <xdr:cNvPr id="74" name="Picture 73">
          <a:extLst>
            <a:ext uri="{FF2B5EF4-FFF2-40B4-BE49-F238E27FC236}">
              <a16:creationId xmlns:a16="http://schemas.microsoft.com/office/drawing/2014/main" id="{BFB879E9-F815-460F-95F7-31FA8CB1DB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77487563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1088</xdr:row>
      <xdr:rowOff>-1</xdr:rowOff>
    </xdr:from>
    <xdr:ext cx="1825625" cy="571500"/>
    <xdr:pic>
      <xdr:nvPicPr>
        <xdr:cNvPr id="75" name="Picture 74">
          <a:extLst>
            <a:ext uri="{FF2B5EF4-FFF2-40B4-BE49-F238E27FC236}">
              <a16:creationId xmlns:a16="http://schemas.microsoft.com/office/drawing/2014/main" id="{EDDAAA7E-1963-4FAD-9BB3-C65F7EEC79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506920499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1085</xdr:row>
      <xdr:rowOff>18363</xdr:rowOff>
    </xdr:from>
    <xdr:ext cx="1747206" cy="592850"/>
    <xdr:pic>
      <xdr:nvPicPr>
        <xdr:cNvPr id="76" name="Picture 75">
          <a:extLst>
            <a:ext uri="{FF2B5EF4-FFF2-40B4-BE49-F238E27FC236}">
              <a16:creationId xmlns:a16="http://schemas.microsoft.com/office/drawing/2014/main" id="{94E19E90-7494-4D72-9247-75DC190266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50559583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1148</xdr:row>
      <xdr:rowOff>-1</xdr:rowOff>
    </xdr:from>
    <xdr:ext cx="1825625" cy="571500"/>
    <xdr:pic>
      <xdr:nvPicPr>
        <xdr:cNvPr id="77" name="Picture 76">
          <a:extLst>
            <a:ext uri="{FF2B5EF4-FFF2-40B4-BE49-F238E27FC236}">
              <a16:creationId xmlns:a16="http://schemas.microsoft.com/office/drawing/2014/main" id="{D6B971EB-EC80-4454-B411-87949F9C5E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535057349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1145</xdr:row>
      <xdr:rowOff>18363</xdr:rowOff>
    </xdr:from>
    <xdr:ext cx="1747206" cy="592850"/>
    <xdr:pic>
      <xdr:nvPicPr>
        <xdr:cNvPr id="78" name="Picture 77">
          <a:extLst>
            <a:ext uri="{FF2B5EF4-FFF2-40B4-BE49-F238E27FC236}">
              <a16:creationId xmlns:a16="http://schemas.microsoft.com/office/drawing/2014/main" id="{1636BE1B-E8CA-4031-B38C-3B86C8D1DF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533732688"/>
          <a:ext cx="1747206" cy="592850"/>
        </a:xfrm>
        <a:prstGeom prst="rect">
          <a:avLst/>
        </a:prstGeom>
      </xdr:spPr>
    </xdr:pic>
    <xdr:clientData/>
  </xdr:oneCellAnchor>
  <xdr:oneCellAnchor>
    <xdr:from>
      <xdr:col>10</xdr:col>
      <xdr:colOff>280987</xdr:colOff>
      <xdr:row>319</xdr:row>
      <xdr:rowOff>364330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B29DAE40-3104-4BBC-82E5-A8B5B401441A}"/>
            </a:ext>
          </a:extLst>
        </xdr:cNvPr>
        <xdr:cNvSpPr txBox="1"/>
      </xdr:nvSpPr>
      <xdr:spPr>
        <a:xfrm>
          <a:off x="15273337" y="1470302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280987</xdr:colOff>
      <xdr:row>319</xdr:row>
      <xdr:rowOff>364330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51EE1B82-0E99-46C6-8228-6429A9FC27A2}"/>
            </a:ext>
          </a:extLst>
        </xdr:cNvPr>
        <xdr:cNvSpPr txBox="1"/>
      </xdr:nvSpPr>
      <xdr:spPr>
        <a:xfrm>
          <a:off x="15273337" y="1470302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280987</xdr:colOff>
      <xdr:row>319</xdr:row>
      <xdr:rowOff>364329</xdr:rowOff>
    </xdr:from>
    <xdr:ext cx="838200" cy="2166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1AB8979E-1C20-4F08-A53A-660CBEFD9461}"/>
                </a:ext>
              </a:extLst>
            </xdr:cNvPr>
            <xdr:cNvSpPr txBox="1"/>
          </xdr:nvSpPr>
          <xdr:spPr>
            <a:xfrm>
              <a:off x="15273337" y="147030279"/>
              <a:ext cx="838200" cy="216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/>
                      <m:sup/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1AB8979E-1C20-4F08-A53A-660CBEFD9461}"/>
                </a:ext>
              </a:extLst>
            </xdr:cNvPr>
            <xdr:cNvSpPr txBox="1"/>
          </xdr:nvSpPr>
          <xdr:spPr>
            <a:xfrm>
              <a:off x="15273337" y="147030279"/>
              <a:ext cx="838200" cy="216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〖^</a:t>
              </a:r>
              <a:r>
                <a:rPr lang="en-GB" sz="1100" i="0">
                  <a:latin typeface="Cambria Math" panose="02040503050406030204" pitchFamily="18" charset="0"/>
                </a:rPr>
                <a:t>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31750</xdr:colOff>
      <xdr:row>313</xdr:row>
      <xdr:rowOff>34410</xdr:rowOff>
    </xdr:from>
    <xdr:ext cx="838200" cy="4471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7A20B0A7-FC98-4F5B-A72E-797C3FC629B2}"/>
                </a:ext>
              </a:extLst>
            </xdr:cNvPr>
            <xdr:cNvSpPr txBox="1"/>
          </xdr:nvSpPr>
          <xdr:spPr>
            <a:xfrm>
              <a:off x="13947775" y="144519135"/>
              <a:ext cx="838200" cy="4471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28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2800" b="1" i="1">
                            <a:latin typeface="Cambria Math" panose="02040503050406030204" pitchFamily="18" charset="0"/>
                          </a:rPr>
                          <m:t>𝟏𝟏</m:t>
                        </m:r>
                      </m:e>
                      <m:sup>
                        <m:r>
                          <a:rPr lang="en-US" sz="28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8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7A20B0A7-FC98-4F5B-A72E-797C3FC629B2}"/>
                </a:ext>
              </a:extLst>
            </xdr:cNvPr>
            <xdr:cNvSpPr txBox="1"/>
          </xdr:nvSpPr>
          <xdr:spPr>
            <a:xfrm>
              <a:off x="13947775" y="144519135"/>
              <a:ext cx="838200" cy="4471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2800" b="1" i="0">
                  <a:latin typeface="Cambria Math" panose="02040503050406030204" pitchFamily="18" charset="0"/>
                </a:rPr>
                <a:t>〖𝟏𝟏〗^𝒕𝒉</a:t>
              </a:r>
              <a:endParaRPr lang="en-US" sz="28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0</xdr:colOff>
      <xdr:row>7</xdr:row>
      <xdr:rowOff>374096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C7D62D82-8BB4-4B33-8592-1FE619D61AB2}"/>
                </a:ext>
              </a:extLst>
            </xdr:cNvPr>
            <xdr:cNvSpPr txBox="1"/>
          </xdr:nvSpPr>
          <xdr:spPr>
            <a:xfrm>
              <a:off x="13916025" y="35363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𝟑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𝒓𝒅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C7D62D82-8BB4-4B33-8592-1FE619D61AB2}"/>
                </a:ext>
              </a:extLst>
            </xdr:cNvPr>
            <xdr:cNvSpPr txBox="1"/>
          </xdr:nvSpPr>
          <xdr:spPr>
            <a:xfrm>
              <a:off x="13916025" y="35363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𝟑^𝒓𝒅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69</xdr:row>
      <xdr:rowOff>47071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2A85DEF3-2E81-44EE-9298-0B700B1A8615}"/>
                </a:ext>
              </a:extLst>
            </xdr:cNvPr>
            <xdr:cNvSpPr txBox="1"/>
          </xdr:nvSpPr>
          <xdr:spPr>
            <a:xfrm>
              <a:off x="14011275" y="3191772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𝟓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2A85DEF3-2E81-44EE-9298-0B700B1A8615}"/>
                </a:ext>
              </a:extLst>
            </xdr:cNvPr>
            <xdr:cNvSpPr txBox="1"/>
          </xdr:nvSpPr>
          <xdr:spPr>
            <a:xfrm>
              <a:off x="14011275" y="3191772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𝟓^𝒕𝒉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130</xdr:row>
      <xdr:rowOff>47071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0B08F343-0E3B-40FC-9404-B3586CA2F4F9}"/>
                </a:ext>
              </a:extLst>
            </xdr:cNvPr>
            <xdr:cNvSpPr txBox="1"/>
          </xdr:nvSpPr>
          <xdr:spPr>
            <a:xfrm>
              <a:off x="14011275" y="600259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𝟒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0B08F343-0E3B-40FC-9404-B3586CA2F4F9}"/>
                </a:ext>
              </a:extLst>
            </xdr:cNvPr>
            <xdr:cNvSpPr txBox="1"/>
          </xdr:nvSpPr>
          <xdr:spPr>
            <a:xfrm>
              <a:off x="14011275" y="600259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𝟒^𝒕𝒉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191</xdr:row>
      <xdr:rowOff>47071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0C7E99A6-8908-4C3D-92CC-B697A6FEC410}"/>
                </a:ext>
              </a:extLst>
            </xdr:cNvPr>
            <xdr:cNvSpPr txBox="1"/>
          </xdr:nvSpPr>
          <xdr:spPr>
            <a:xfrm>
              <a:off x="14011275" y="882580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𝟐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𝒏𝒅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0C7E99A6-8908-4C3D-92CC-B697A6FEC410}"/>
                </a:ext>
              </a:extLst>
            </xdr:cNvPr>
            <xdr:cNvSpPr txBox="1"/>
          </xdr:nvSpPr>
          <xdr:spPr>
            <a:xfrm>
              <a:off x="14011275" y="882580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𝟐^𝒏𝒅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252</xdr:row>
      <xdr:rowOff>56433</xdr:rowOff>
    </xdr:from>
    <xdr:ext cx="838200" cy="5017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C1B1274A-B7DA-4527-A469-6A8B25F6DA77}"/>
                </a:ext>
              </a:extLst>
            </xdr:cNvPr>
            <xdr:cNvSpPr txBox="1"/>
          </xdr:nvSpPr>
          <xdr:spPr>
            <a:xfrm>
              <a:off x="14011275" y="116404308"/>
              <a:ext cx="838200" cy="5017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𝟏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𝒔𝒕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C1B1274A-B7DA-4527-A469-6A8B25F6DA77}"/>
                </a:ext>
              </a:extLst>
            </xdr:cNvPr>
            <xdr:cNvSpPr txBox="1"/>
          </xdr:nvSpPr>
          <xdr:spPr>
            <a:xfrm>
              <a:off x="14011275" y="116404308"/>
              <a:ext cx="838200" cy="5017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𝟏^𝒔𝒕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1070607</xdr:colOff>
      <xdr:row>118</xdr:row>
      <xdr:rowOff>18363</xdr:rowOff>
    </xdr:from>
    <xdr:ext cx="1755144" cy="584913"/>
    <xdr:pic>
      <xdr:nvPicPr>
        <xdr:cNvPr id="88" name="Picture 87">
          <a:extLst>
            <a:ext uri="{FF2B5EF4-FFF2-40B4-BE49-F238E27FC236}">
              <a16:creationId xmlns:a16="http://schemas.microsoft.com/office/drawing/2014/main" id="{08AC6DE1-1D44-4879-B9F9-4A1A13A826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54263238"/>
          <a:ext cx="1755144" cy="584913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118</xdr:row>
      <xdr:rowOff>18363</xdr:rowOff>
    </xdr:from>
    <xdr:ext cx="1755144" cy="584913"/>
    <xdr:pic>
      <xdr:nvPicPr>
        <xdr:cNvPr id="89" name="Picture 88">
          <a:extLst>
            <a:ext uri="{FF2B5EF4-FFF2-40B4-BE49-F238E27FC236}">
              <a16:creationId xmlns:a16="http://schemas.microsoft.com/office/drawing/2014/main" id="{66259419-7C26-45BE-97D9-F47B0351BB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54263238"/>
          <a:ext cx="1755144" cy="584913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179</xdr:row>
      <xdr:rowOff>18363</xdr:rowOff>
    </xdr:from>
    <xdr:ext cx="1747206" cy="592850"/>
    <xdr:pic>
      <xdr:nvPicPr>
        <xdr:cNvPr id="90" name="Picture 89">
          <a:extLst>
            <a:ext uri="{FF2B5EF4-FFF2-40B4-BE49-F238E27FC236}">
              <a16:creationId xmlns:a16="http://schemas.microsoft.com/office/drawing/2014/main" id="{4DB73D0B-8D7D-4F6C-A5A9-E25EB680E4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82495338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179</xdr:row>
      <xdr:rowOff>18363</xdr:rowOff>
    </xdr:from>
    <xdr:ext cx="1755144" cy="584913"/>
    <xdr:pic>
      <xdr:nvPicPr>
        <xdr:cNvPr id="91" name="Picture 90">
          <a:extLst>
            <a:ext uri="{FF2B5EF4-FFF2-40B4-BE49-F238E27FC236}">
              <a16:creationId xmlns:a16="http://schemas.microsoft.com/office/drawing/2014/main" id="{FA7590C4-D5C6-4039-8254-9B683CB6ED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82495338"/>
          <a:ext cx="1755144" cy="584913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179</xdr:row>
      <xdr:rowOff>18363</xdr:rowOff>
    </xdr:from>
    <xdr:ext cx="1755144" cy="584913"/>
    <xdr:pic>
      <xdr:nvPicPr>
        <xdr:cNvPr id="92" name="Picture 91">
          <a:extLst>
            <a:ext uri="{FF2B5EF4-FFF2-40B4-BE49-F238E27FC236}">
              <a16:creationId xmlns:a16="http://schemas.microsoft.com/office/drawing/2014/main" id="{E33AD8CB-7BF8-4074-8173-DA18A1B4AA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82495338"/>
          <a:ext cx="1755144" cy="584913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374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316ED1C3-E45C-4E57-AC7A-E1F003DBC10A}"/>
                </a:ext>
              </a:extLst>
            </xdr:cNvPr>
            <xdr:cNvSpPr txBox="1"/>
          </xdr:nvSpPr>
          <xdr:spPr>
            <a:xfrm>
              <a:off x="14011275" y="1727543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𝟓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316ED1C3-E45C-4E57-AC7A-E1F003DBC10A}"/>
                </a:ext>
              </a:extLst>
            </xdr:cNvPr>
            <xdr:cNvSpPr txBox="1"/>
          </xdr:nvSpPr>
          <xdr:spPr>
            <a:xfrm>
              <a:off x="14011275" y="1727543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𝟓^𝒕𝒉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435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DF54B3CA-7DD0-401F-8FBD-648E14771C62}"/>
                </a:ext>
              </a:extLst>
            </xdr:cNvPr>
            <xdr:cNvSpPr txBox="1"/>
          </xdr:nvSpPr>
          <xdr:spPr>
            <a:xfrm>
              <a:off x="14011275" y="2009864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𝟕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DF54B3CA-7DD0-401F-8FBD-648E14771C62}"/>
                </a:ext>
              </a:extLst>
            </xdr:cNvPr>
            <xdr:cNvSpPr txBox="1"/>
          </xdr:nvSpPr>
          <xdr:spPr>
            <a:xfrm>
              <a:off x="14011275" y="2009864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𝟕^𝒕𝒉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496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D9CFBE39-FFB4-4F8B-8CAB-FB12D9155BE5}"/>
                </a:ext>
              </a:extLst>
            </xdr:cNvPr>
            <xdr:cNvSpPr txBox="1"/>
          </xdr:nvSpPr>
          <xdr:spPr>
            <a:xfrm>
              <a:off x="14011275" y="2292185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𝟖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D9CFBE39-FFB4-4F8B-8CAB-FB12D9155BE5}"/>
                </a:ext>
              </a:extLst>
            </xdr:cNvPr>
            <xdr:cNvSpPr txBox="1"/>
          </xdr:nvSpPr>
          <xdr:spPr>
            <a:xfrm>
              <a:off x="14011275" y="2292185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𝟖^𝒕𝒉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557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8CCAABFF-2BAE-46A3-B4A9-185D9184EBE4}"/>
                </a:ext>
              </a:extLst>
            </xdr:cNvPr>
            <xdr:cNvSpPr txBox="1"/>
          </xdr:nvSpPr>
          <xdr:spPr>
            <a:xfrm>
              <a:off x="14011275" y="25785072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𝟒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8CCAABFF-2BAE-46A3-B4A9-185D9184EBE4}"/>
                </a:ext>
              </a:extLst>
            </xdr:cNvPr>
            <xdr:cNvSpPr txBox="1"/>
          </xdr:nvSpPr>
          <xdr:spPr>
            <a:xfrm>
              <a:off x="14011275" y="25785072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𝟒^𝒕𝒉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617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F7C10286-F2E0-43B3-BC7D-82BD99019A46}"/>
                </a:ext>
              </a:extLst>
            </xdr:cNvPr>
            <xdr:cNvSpPr txBox="1"/>
          </xdr:nvSpPr>
          <xdr:spPr>
            <a:xfrm>
              <a:off x="14011275" y="2859875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𝟏𝟐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F7C10286-F2E0-43B3-BC7D-82BD99019A46}"/>
                </a:ext>
              </a:extLst>
            </xdr:cNvPr>
            <xdr:cNvSpPr txBox="1"/>
          </xdr:nvSpPr>
          <xdr:spPr>
            <a:xfrm>
              <a:off x="14011275" y="2859875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〖𝟏𝟐〗^𝒕𝒉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677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BA7888C5-FFCA-4BA3-AC5C-9A1B6FAD018D}"/>
                </a:ext>
              </a:extLst>
            </xdr:cNvPr>
            <xdr:cNvSpPr txBox="1"/>
          </xdr:nvSpPr>
          <xdr:spPr>
            <a:xfrm>
              <a:off x="14011275" y="3141910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𝟑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𝒓𝒅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BA7888C5-FFCA-4BA3-AC5C-9A1B6FAD018D}"/>
                </a:ext>
              </a:extLst>
            </xdr:cNvPr>
            <xdr:cNvSpPr txBox="1"/>
          </xdr:nvSpPr>
          <xdr:spPr>
            <a:xfrm>
              <a:off x="14011275" y="3141910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𝟑^𝒓𝒅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737</xdr:row>
      <xdr:rowOff>46908</xdr:rowOff>
    </xdr:from>
    <xdr:ext cx="838200" cy="5017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24B829D8-08FB-4ECF-B6F2-F1081AAC1A03}"/>
                </a:ext>
              </a:extLst>
            </xdr:cNvPr>
            <xdr:cNvSpPr txBox="1"/>
          </xdr:nvSpPr>
          <xdr:spPr>
            <a:xfrm>
              <a:off x="14011275" y="342337308"/>
              <a:ext cx="838200" cy="5017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𝟏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𝒔𝒕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24B829D8-08FB-4ECF-B6F2-F1081AAC1A03}"/>
                </a:ext>
              </a:extLst>
            </xdr:cNvPr>
            <xdr:cNvSpPr txBox="1"/>
          </xdr:nvSpPr>
          <xdr:spPr>
            <a:xfrm>
              <a:off x="14011275" y="342337308"/>
              <a:ext cx="838200" cy="5017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𝟏^𝒔𝒕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797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CDEBEF5F-E010-4840-B6D0-945BB4DC632A}"/>
                </a:ext>
              </a:extLst>
            </xdr:cNvPr>
            <xdr:cNvSpPr txBox="1"/>
          </xdr:nvSpPr>
          <xdr:spPr>
            <a:xfrm>
              <a:off x="14011275" y="37043622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𝟐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𝒏𝒅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CDEBEF5F-E010-4840-B6D0-945BB4DC632A}"/>
                </a:ext>
              </a:extLst>
            </xdr:cNvPr>
            <xdr:cNvSpPr txBox="1"/>
          </xdr:nvSpPr>
          <xdr:spPr>
            <a:xfrm>
              <a:off x="14011275" y="37043622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𝟐^𝒏𝒅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857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1162AB1F-18FE-4302-8ABD-7707D6848483}"/>
                </a:ext>
              </a:extLst>
            </xdr:cNvPr>
            <xdr:cNvSpPr txBox="1"/>
          </xdr:nvSpPr>
          <xdr:spPr>
            <a:xfrm>
              <a:off x="14011275" y="3985444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𝟗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1162AB1F-18FE-4302-8ABD-7707D6848483}"/>
                </a:ext>
              </a:extLst>
            </xdr:cNvPr>
            <xdr:cNvSpPr txBox="1"/>
          </xdr:nvSpPr>
          <xdr:spPr>
            <a:xfrm>
              <a:off x="14011275" y="3985444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𝟗^𝒕𝒉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917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D8B5E0AC-E3C0-49B3-BF14-4E26E04BBEF4}"/>
                </a:ext>
              </a:extLst>
            </xdr:cNvPr>
            <xdr:cNvSpPr txBox="1"/>
          </xdr:nvSpPr>
          <xdr:spPr>
            <a:xfrm>
              <a:off x="14011275" y="4267765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𝟔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D8B5E0AC-E3C0-49B3-BF14-4E26E04BBEF4}"/>
                </a:ext>
              </a:extLst>
            </xdr:cNvPr>
            <xdr:cNvSpPr txBox="1"/>
          </xdr:nvSpPr>
          <xdr:spPr>
            <a:xfrm>
              <a:off x="14011275" y="4267765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𝟔^𝒕𝒉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977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237FC06F-4E6C-4366-80F9-F0D3AF438DA2}"/>
                </a:ext>
              </a:extLst>
            </xdr:cNvPr>
            <xdr:cNvSpPr txBox="1"/>
          </xdr:nvSpPr>
          <xdr:spPr>
            <a:xfrm>
              <a:off x="14011275" y="4550086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𝟏𝟎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237FC06F-4E6C-4366-80F9-F0D3AF438DA2}"/>
                </a:ext>
              </a:extLst>
            </xdr:cNvPr>
            <xdr:cNvSpPr txBox="1"/>
          </xdr:nvSpPr>
          <xdr:spPr>
            <a:xfrm>
              <a:off x="14011275" y="4550086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〖𝟏𝟎〗^𝒕𝒉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1037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6884786C-0B0B-472F-948D-010D4E03C790}"/>
                </a:ext>
              </a:extLst>
            </xdr:cNvPr>
            <xdr:cNvSpPr txBox="1"/>
          </xdr:nvSpPr>
          <xdr:spPr>
            <a:xfrm>
              <a:off x="14011275" y="4832407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𝟐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𝒏𝒅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6884786C-0B0B-472F-948D-010D4E03C790}"/>
                </a:ext>
              </a:extLst>
            </xdr:cNvPr>
            <xdr:cNvSpPr txBox="1"/>
          </xdr:nvSpPr>
          <xdr:spPr>
            <a:xfrm>
              <a:off x="14011275" y="4832407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𝟐^𝒏𝒅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1097</xdr:row>
      <xdr:rowOff>46908</xdr:rowOff>
    </xdr:from>
    <xdr:ext cx="838200" cy="5017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7D6F8E81-B276-4B4F-9C9C-4F9A0E44BA71}"/>
                </a:ext>
              </a:extLst>
            </xdr:cNvPr>
            <xdr:cNvSpPr txBox="1"/>
          </xdr:nvSpPr>
          <xdr:spPr>
            <a:xfrm>
              <a:off x="14011275" y="511358433"/>
              <a:ext cx="838200" cy="5017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𝟏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𝒔𝒕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7D6F8E81-B276-4B4F-9C9C-4F9A0E44BA71}"/>
                </a:ext>
              </a:extLst>
            </xdr:cNvPr>
            <xdr:cNvSpPr txBox="1"/>
          </xdr:nvSpPr>
          <xdr:spPr>
            <a:xfrm>
              <a:off x="14011275" y="511358433"/>
              <a:ext cx="838200" cy="5017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𝟏^𝒔𝒕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1070607</xdr:colOff>
      <xdr:row>362</xdr:row>
      <xdr:rowOff>18363</xdr:rowOff>
    </xdr:from>
    <xdr:ext cx="1755144" cy="584913"/>
    <xdr:pic>
      <xdr:nvPicPr>
        <xdr:cNvPr id="106" name="Picture 105">
          <a:extLst>
            <a:ext uri="{FF2B5EF4-FFF2-40B4-BE49-F238E27FC236}">
              <a16:creationId xmlns:a16="http://schemas.microsoft.com/office/drawing/2014/main" id="{98F040A1-391B-49A1-980E-5D9B627E0E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167001138"/>
          <a:ext cx="1755144" cy="584913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426</xdr:row>
      <xdr:rowOff>158750</xdr:rowOff>
    </xdr:from>
    <xdr:ext cx="1841500" cy="412750"/>
    <xdr:pic>
      <xdr:nvPicPr>
        <xdr:cNvPr id="107" name="Picture 106">
          <a:extLst>
            <a:ext uri="{FF2B5EF4-FFF2-40B4-BE49-F238E27FC236}">
              <a16:creationId xmlns:a16="http://schemas.microsoft.com/office/drawing/2014/main" id="{ADC0A09B-B406-4E59-9414-8CA36E5448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196716650"/>
          <a:ext cx="1841500" cy="4127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423</xdr:row>
      <xdr:rowOff>18363</xdr:rowOff>
    </xdr:from>
    <xdr:ext cx="1755144" cy="584913"/>
    <xdr:pic>
      <xdr:nvPicPr>
        <xdr:cNvPr id="108" name="Picture 107">
          <a:extLst>
            <a:ext uri="{FF2B5EF4-FFF2-40B4-BE49-F238E27FC236}">
              <a16:creationId xmlns:a16="http://schemas.microsoft.com/office/drawing/2014/main" id="{1B5AF640-F56A-4038-9C71-8AF6D699EC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195233238"/>
          <a:ext cx="1755144" cy="584913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548</xdr:row>
      <xdr:rowOff>95250</xdr:rowOff>
    </xdr:from>
    <xdr:ext cx="1825625" cy="468312"/>
    <xdr:pic>
      <xdr:nvPicPr>
        <xdr:cNvPr id="109" name="Picture 108">
          <a:extLst>
            <a:ext uri="{FF2B5EF4-FFF2-40B4-BE49-F238E27FC236}">
              <a16:creationId xmlns:a16="http://schemas.microsoft.com/office/drawing/2014/main" id="{DC426620-7361-4DC4-BF17-CF3A4A8E9D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253517400"/>
          <a:ext cx="1825625" cy="468312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545</xdr:row>
      <xdr:rowOff>18363</xdr:rowOff>
    </xdr:from>
    <xdr:ext cx="1747206" cy="592850"/>
    <xdr:pic>
      <xdr:nvPicPr>
        <xdr:cNvPr id="110" name="Picture 109">
          <a:extLst>
            <a:ext uri="{FF2B5EF4-FFF2-40B4-BE49-F238E27FC236}">
              <a16:creationId xmlns:a16="http://schemas.microsoft.com/office/drawing/2014/main" id="{93AE0A42-D248-47F4-9624-6BE58851BB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251697438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545</xdr:row>
      <xdr:rowOff>18363</xdr:rowOff>
    </xdr:from>
    <xdr:ext cx="1755144" cy="584913"/>
    <xdr:pic>
      <xdr:nvPicPr>
        <xdr:cNvPr id="111" name="Picture 110">
          <a:extLst>
            <a:ext uri="{FF2B5EF4-FFF2-40B4-BE49-F238E27FC236}">
              <a16:creationId xmlns:a16="http://schemas.microsoft.com/office/drawing/2014/main" id="{36B870DB-A84F-4423-AA5F-66E0D7FE05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251697438"/>
          <a:ext cx="1755144" cy="584913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905</xdr:row>
      <xdr:rowOff>18363</xdr:rowOff>
    </xdr:from>
    <xdr:ext cx="1747206" cy="592850"/>
    <xdr:pic>
      <xdr:nvPicPr>
        <xdr:cNvPr id="112" name="Picture 111">
          <a:extLst>
            <a:ext uri="{FF2B5EF4-FFF2-40B4-BE49-F238E27FC236}">
              <a16:creationId xmlns:a16="http://schemas.microsoft.com/office/drawing/2014/main" id="{D8CB02A8-D58A-4B3A-BD1A-3629D59108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21023363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905</xdr:row>
      <xdr:rowOff>18363</xdr:rowOff>
    </xdr:from>
    <xdr:ext cx="1755144" cy="584913"/>
    <xdr:pic>
      <xdr:nvPicPr>
        <xdr:cNvPr id="113" name="Picture 112">
          <a:extLst>
            <a:ext uri="{FF2B5EF4-FFF2-40B4-BE49-F238E27FC236}">
              <a16:creationId xmlns:a16="http://schemas.microsoft.com/office/drawing/2014/main" id="{C87AF572-858B-4449-AE62-9D8EABB17D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21023363"/>
          <a:ext cx="1755144" cy="584913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487</xdr:row>
      <xdr:rowOff>31750</xdr:rowOff>
    </xdr:from>
    <xdr:ext cx="1825625" cy="531812"/>
    <xdr:pic>
      <xdr:nvPicPr>
        <xdr:cNvPr id="114" name="Picture 113">
          <a:extLst>
            <a:ext uri="{FF2B5EF4-FFF2-40B4-BE49-F238E27FC236}">
              <a16:creationId xmlns:a16="http://schemas.microsoft.com/office/drawing/2014/main" id="{B5701910-5AA7-418D-AD5D-53FA4BF610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224821750"/>
          <a:ext cx="1825625" cy="531812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484</xdr:row>
      <xdr:rowOff>18363</xdr:rowOff>
    </xdr:from>
    <xdr:ext cx="1747206" cy="592850"/>
    <xdr:pic>
      <xdr:nvPicPr>
        <xdr:cNvPr id="115" name="Picture 114">
          <a:extLst>
            <a:ext uri="{FF2B5EF4-FFF2-40B4-BE49-F238E27FC236}">
              <a16:creationId xmlns:a16="http://schemas.microsoft.com/office/drawing/2014/main" id="{49E6ACC9-047F-43F1-8057-314ED59B2E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223465338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484</xdr:row>
      <xdr:rowOff>18363</xdr:rowOff>
    </xdr:from>
    <xdr:ext cx="1747206" cy="592850"/>
    <xdr:pic>
      <xdr:nvPicPr>
        <xdr:cNvPr id="116" name="Picture 115">
          <a:extLst>
            <a:ext uri="{FF2B5EF4-FFF2-40B4-BE49-F238E27FC236}">
              <a16:creationId xmlns:a16="http://schemas.microsoft.com/office/drawing/2014/main" id="{F07E822F-CF83-4FE5-86B0-6F4AC7F82D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223465338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484</xdr:row>
      <xdr:rowOff>18363</xdr:rowOff>
    </xdr:from>
    <xdr:ext cx="1755144" cy="584913"/>
    <xdr:pic>
      <xdr:nvPicPr>
        <xdr:cNvPr id="117" name="Picture 116">
          <a:extLst>
            <a:ext uri="{FF2B5EF4-FFF2-40B4-BE49-F238E27FC236}">
              <a16:creationId xmlns:a16="http://schemas.microsoft.com/office/drawing/2014/main" id="{50FD3F0F-BA76-4C8B-90DF-96C2D3596F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223465338"/>
          <a:ext cx="1755144" cy="584913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484</xdr:row>
      <xdr:rowOff>18363</xdr:rowOff>
    </xdr:from>
    <xdr:ext cx="1755144" cy="584913"/>
    <xdr:pic>
      <xdr:nvPicPr>
        <xdr:cNvPr id="118" name="Picture 117">
          <a:extLst>
            <a:ext uri="{FF2B5EF4-FFF2-40B4-BE49-F238E27FC236}">
              <a16:creationId xmlns:a16="http://schemas.microsoft.com/office/drawing/2014/main" id="{E810B417-18BE-4661-B0EA-048403557D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223465338"/>
          <a:ext cx="1755144" cy="584913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968</xdr:row>
      <xdr:rowOff>-1</xdr:rowOff>
    </xdr:from>
    <xdr:ext cx="1825625" cy="571500"/>
    <xdr:pic>
      <xdr:nvPicPr>
        <xdr:cNvPr id="119" name="Picture 118">
          <a:extLst>
            <a:ext uri="{FF2B5EF4-FFF2-40B4-BE49-F238E27FC236}">
              <a16:creationId xmlns:a16="http://schemas.microsoft.com/office/drawing/2014/main" id="{3B3E5530-81B6-4F90-9791-13E03D30AC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450580124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965</xdr:row>
      <xdr:rowOff>18363</xdr:rowOff>
    </xdr:from>
    <xdr:ext cx="1747206" cy="592850"/>
    <xdr:pic>
      <xdr:nvPicPr>
        <xdr:cNvPr id="120" name="Picture 119">
          <a:extLst>
            <a:ext uri="{FF2B5EF4-FFF2-40B4-BE49-F238E27FC236}">
              <a16:creationId xmlns:a16="http://schemas.microsoft.com/office/drawing/2014/main" id="{6ACB4906-2003-4E38-B237-C77F3B8866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49255463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968</xdr:row>
      <xdr:rowOff>31750</xdr:rowOff>
    </xdr:from>
    <xdr:ext cx="1825625" cy="531812"/>
    <xdr:pic>
      <xdr:nvPicPr>
        <xdr:cNvPr id="121" name="Picture 120">
          <a:extLst>
            <a:ext uri="{FF2B5EF4-FFF2-40B4-BE49-F238E27FC236}">
              <a16:creationId xmlns:a16="http://schemas.microsoft.com/office/drawing/2014/main" id="{6CF0B2B2-5D0F-4B19-9AB0-5B64C99516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450611875"/>
          <a:ext cx="1825625" cy="531812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965</xdr:row>
      <xdr:rowOff>18363</xdr:rowOff>
    </xdr:from>
    <xdr:ext cx="1747206" cy="592850"/>
    <xdr:pic>
      <xdr:nvPicPr>
        <xdr:cNvPr id="122" name="Picture 121">
          <a:extLst>
            <a:ext uri="{FF2B5EF4-FFF2-40B4-BE49-F238E27FC236}">
              <a16:creationId xmlns:a16="http://schemas.microsoft.com/office/drawing/2014/main" id="{0DFEBCA9-5DC1-413B-9065-4E674DC440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49255463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965</xdr:row>
      <xdr:rowOff>18363</xdr:rowOff>
    </xdr:from>
    <xdr:ext cx="1747206" cy="592850"/>
    <xdr:pic>
      <xdr:nvPicPr>
        <xdr:cNvPr id="123" name="Picture 122">
          <a:extLst>
            <a:ext uri="{FF2B5EF4-FFF2-40B4-BE49-F238E27FC236}">
              <a16:creationId xmlns:a16="http://schemas.microsoft.com/office/drawing/2014/main" id="{3F6BDD44-0F90-4599-90B9-2A0201F8A7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49255463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965</xdr:row>
      <xdr:rowOff>18363</xdr:rowOff>
    </xdr:from>
    <xdr:ext cx="1755144" cy="584913"/>
    <xdr:pic>
      <xdr:nvPicPr>
        <xdr:cNvPr id="124" name="Picture 123">
          <a:extLst>
            <a:ext uri="{FF2B5EF4-FFF2-40B4-BE49-F238E27FC236}">
              <a16:creationId xmlns:a16="http://schemas.microsoft.com/office/drawing/2014/main" id="{E0E829E7-1D77-40F1-8DDB-54D9BCF7C4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49255463"/>
          <a:ext cx="1755144" cy="584913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965</xdr:row>
      <xdr:rowOff>18363</xdr:rowOff>
    </xdr:from>
    <xdr:ext cx="1755144" cy="584913"/>
    <xdr:pic>
      <xdr:nvPicPr>
        <xdr:cNvPr id="125" name="Picture 124">
          <a:extLst>
            <a:ext uri="{FF2B5EF4-FFF2-40B4-BE49-F238E27FC236}">
              <a16:creationId xmlns:a16="http://schemas.microsoft.com/office/drawing/2014/main" id="{B2B847EB-BC01-4704-A83B-3C781E22FC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49255463"/>
          <a:ext cx="1755144" cy="584913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1028</xdr:row>
      <xdr:rowOff>95249</xdr:rowOff>
    </xdr:from>
    <xdr:ext cx="1825625" cy="476249"/>
    <xdr:pic>
      <xdr:nvPicPr>
        <xdr:cNvPr id="126" name="Picture 125">
          <a:extLst>
            <a:ext uri="{FF2B5EF4-FFF2-40B4-BE49-F238E27FC236}">
              <a16:creationId xmlns:a16="http://schemas.microsoft.com/office/drawing/2014/main" id="{BDB2057B-7AE9-4EA9-A0AD-D9D6AD69E4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478907474"/>
          <a:ext cx="1825625" cy="476249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1025</xdr:row>
      <xdr:rowOff>18363</xdr:rowOff>
    </xdr:from>
    <xdr:ext cx="1747206" cy="592850"/>
    <xdr:pic>
      <xdr:nvPicPr>
        <xdr:cNvPr id="127" name="Picture 126">
          <a:extLst>
            <a:ext uri="{FF2B5EF4-FFF2-40B4-BE49-F238E27FC236}">
              <a16:creationId xmlns:a16="http://schemas.microsoft.com/office/drawing/2014/main" id="{590E7D84-FFEA-4787-9541-AEEC57AAE2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77487563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1025</xdr:row>
      <xdr:rowOff>18363</xdr:rowOff>
    </xdr:from>
    <xdr:ext cx="1747206" cy="592850"/>
    <xdr:pic>
      <xdr:nvPicPr>
        <xdr:cNvPr id="128" name="Picture 127">
          <a:extLst>
            <a:ext uri="{FF2B5EF4-FFF2-40B4-BE49-F238E27FC236}">
              <a16:creationId xmlns:a16="http://schemas.microsoft.com/office/drawing/2014/main" id="{D3B11656-8CC4-442F-A9CA-A9CA8CD1B7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77487563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1025</xdr:row>
      <xdr:rowOff>18363</xdr:rowOff>
    </xdr:from>
    <xdr:ext cx="1755144" cy="584913"/>
    <xdr:pic>
      <xdr:nvPicPr>
        <xdr:cNvPr id="129" name="Picture 128">
          <a:extLst>
            <a:ext uri="{FF2B5EF4-FFF2-40B4-BE49-F238E27FC236}">
              <a16:creationId xmlns:a16="http://schemas.microsoft.com/office/drawing/2014/main" id="{0097B232-126C-440B-926E-C87D93E0FC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77487563"/>
          <a:ext cx="1755144" cy="58491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53C3-A3BE-46A4-B6AB-C2588069E776}">
  <dimension ref="A1:K1149"/>
  <sheetViews>
    <sheetView tabSelected="1" view="pageBreakPreview" topLeftCell="A101" zoomScale="40" zoomScaleNormal="100" zoomScaleSheetLayoutView="40" workbookViewId="0">
      <selection activeCell="J80" sqref="J80"/>
    </sheetView>
  </sheetViews>
  <sheetFormatPr defaultRowHeight="25.5" customHeight="1" x14ac:dyDescent="0.25"/>
  <cols>
    <col min="1" max="1" width="46.85546875" style="1" customWidth="1"/>
    <col min="2" max="2" width="18.140625" style="1" customWidth="1"/>
    <col min="3" max="3" width="13.7109375" style="1" customWidth="1"/>
    <col min="4" max="4" width="19.42578125" style="1" customWidth="1"/>
    <col min="5" max="5" width="15.42578125" style="1" customWidth="1"/>
    <col min="6" max="6" width="19.28515625" style="1" customWidth="1"/>
    <col min="7" max="7" width="28.7109375" style="1" customWidth="1"/>
    <col min="8" max="8" width="22.85546875" style="1" customWidth="1"/>
    <col min="9" max="9" width="24.28515625" style="1" customWidth="1"/>
    <col min="10" max="10" width="16.140625" style="1" customWidth="1"/>
    <col min="11" max="11" width="33.28515625" style="1" customWidth="1"/>
    <col min="12" max="13" width="9.140625" style="1"/>
    <col min="14" max="14" width="14.85546875" style="1" customWidth="1"/>
    <col min="15" max="16384" width="9.140625" style="1"/>
  </cols>
  <sheetData>
    <row r="1" spans="1:11" ht="6.75" customHeight="1" x14ac:dyDescent="0.25"/>
    <row r="2" spans="1:11" ht="66" customHeight="1" x14ac:dyDescent="0.25">
      <c r="A2" s="62" t="s">
        <v>0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1" ht="27.75" customHeight="1" x14ac:dyDescent="0.3">
      <c r="A3" s="63" t="s">
        <v>1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4" spans="1:11" ht="46.5" customHeight="1" x14ac:dyDescent="0.25">
      <c r="A4" s="64" t="s">
        <v>2</v>
      </c>
      <c r="B4" s="64"/>
      <c r="C4" s="64"/>
      <c r="D4" s="64"/>
      <c r="E4" s="64"/>
      <c r="F4" s="64"/>
      <c r="G4" s="64"/>
      <c r="H4" s="64"/>
      <c r="I4" s="64"/>
      <c r="J4" s="64"/>
      <c r="K4" s="64"/>
    </row>
    <row r="5" spans="1:11" ht="39" customHeight="1" x14ac:dyDescent="0.55000000000000004">
      <c r="A5" s="65" t="s">
        <v>144</v>
      </c>
      <c r="B5" s="65"/>
      <c r="C5" s="65"/>
      <c r="D5" s="65"/>
      <c r="E5" s="65"/>
      <c r="F5" s="65"/>
      <c r="G5" s="65"/>
      <c r="H5" s="65"/>
      <c r="I5" s="65"/>
      <c r="J5" s="65"/>
      <c r="K5" s="65"/>
    </row>
    <row r="6" spans="1:11" ht="31.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s="20" customFormat="1" ht="31.5" customHeight="1" x14ac:dyDescent="0.4">
      <c r="A7" s="19" t="s">
        <v>60</v>
      </c>
      <c r="B7" s="59" t="s">
        <v>167</v>
      </c>
      <c r="C7" s="59"/>
      <c r="D7" s="59"/>
      <c r="E7" s="59"/>
      <c r="F7" s="59"/>
      <c r="G7" s="19" t="s">
        <v>59</v>
      </c>
      <c r="H7" s="47" t="s">
        <v>106</v>
      </c>
      <c r="I7" s="19" t="s">
        <v>75</v>
      </c>
      <c r="J7" s="59" t="s">
        <v>142</v>
      </c>
      <c r="K7" s="66"/>
    </row>
    <row r="8" spans="1:11" s="20" customFormat="1" ht="31.5" customHeight="1" x14ac:dyDescent="0.4">
      <c r="A8" s="19" t="s">
        <v>61</v>
      </c>
      <c r="B8" s="59" t="s">
        <v>84</v>
      </c>
      <c r="C8" s="59"/>
      <c r="D8" s="19" t="s">
        <v>68</v>
      </c>
      <c r="E8" s="59" t="s">
        <v>138</v>
      </c>
      <c r="F8" s="59"/>
      <c r="G8" s="59"/>
      <c r="H8" s="59"/>
      <c r="I8" s="19" t="s">
        <v>69</v>
      </c>
      <c r="J8" s="59" t="s">
        <v>85</v>
      </c>
      <c r="K8" s="59"/>
    </row>
    <row r="9" spans="1:11" s="20" customFormat="1" ht="35.25" customHeight="1" x14ac:dyDescent="0.4">
      <c r="A9" s="19" t="s">
        <v>63</v>
      </c>
      <c r="B9" s="47" t="s">
        <v>64</v>
      </c>
      <c r="C9" s="47"/>
      <c r="D9" s="47"/>
      <c r="E9" s="55"/>
      <c r="F9" s="19" t="s">
        <v>62</v>
      </c>
      <c r="H9" s="47">
        <v>17</v>
      </c>
      <c r="I9" s="19" t="s">
        <v>70</v>
      </c>
      <c r="J9" s="59"/>
      <c r="K9" s="59"/>
    </row>
    <row r="10" spans="1:11" s="20" customFormat="1" ht="39" customHeight="1" x14ac:dyDescent="0.4">
      <c r="A10" s="19" t="s">
        <v>71</v>
      </c>
      <c r="B10" s="21" t="s">
        <v>139</v>
      </c>
      <c r="C10" s="21"/>
      <c r="D10" s="21"/>
      <c r="E10" s="21"/>
      <c r="F10" s="19" t="s">
        <v>73</v>
      </c>
      <c r="G10" s="19"/>
      <c r="H10" s="24" t="s">
        <v>140</v>
      </c>
      <c r="I10" s="21"/>
      <c r="J10" s="21"/>
      <c r="K10" s="21"/>
    </row>
    <row r="11" spans="1:11" s="20" customFormat="1" ht="39.75" customHeight="1" x14ac:dyDescent="0.4">
      <c r="A11" s="19" t="s">
        <v>72</v>
      </c>
      <c r="B11" s="21"/>
      <c r="C11" s="60"/>
      <c r="D11" s="60"/>
      <c r="E11" s="60"/>
      <c r="F11" s="19" t="s">
        <v>74</v>
      </c>
      <c r="G11" s="19"/>
      <c r="H11" s="61"/>
      <c r="I11" s="61"/>
      <c r="J11" s="61"/>
      <c r="K11" s="61"/>
    </row>
    <row r="12" spans="1:11" s="20" customFormat="1" ht="32.25" x14ac:dyDescent="0.4">
      <c r="A12" s="19"/>
      <c r="B12" s="21"/>
      <c r="C12" s="51"/>
      <c r="D12" s="51"/>
      <c r="E12" s="51"/>
      <c r="F12" s="19"/>
      <c r="G12" s="19"/>
      <c r="H12" s="52"/>
      <c r="I12" s="52"/>
      <c r="J12" s="52"/>
      <c r="K12" s="52"/>
    </row>
    <row r="13" spans="1:11" s="20" customFormat="1" ht="34.5" x14ac:dyDescent="0.45">
      <c r="A13" s="19"/>
      <c r="B13" s="67" t="s">
        <v>164</v>
      </c>
      <c r="C13" s="67"/>
      <c r="D13" s="67"/>
      <c r="E13" s="67"/>
      <c r="F13" s="67"/>
      <c r="G13" s="67"/>
      <c r="H13" s="67"/>
      <c r="I13" s="67"/>
      <c r="J13" s="67"/>
      <c r="K13" s="67"/>
    </row>
    <row r="14" spans="1:11" s="14" customFormat="1" ht="36.75" customHeight="1" x14ac:dyDescent="0.45">
      <c r="A14" s="15"/>
      <c r="B14" s="67" t="s">
        <v>5</v>
      </c>
      <c r="C14" s="67"/>
      <c r="D14" s="67"/>
      <c r="E14" s="67"/>
      <c r="F14" s="67"/>
      <c r="G14" s="67"/>
      <c r="H14" s="67"/>
      <c r="I14" s="67"/>
      <c r="J14" s="67"/>
      <c r="K14" s="67"/>
    </row>
    <row r="15" spans="1:11" s="14" customFormat="1" ht="31.5" customHeight="1" x14ac:dyDescent="0.4">
      <c r="B15" s="68" t="s">
        <v>22</v>
      </c>
      <c r="C15" s="69"/>
      <c r="D15" s="69"/>
      <c r="E15" s="69"/>
      <c r="F15" s="49" t="s">
        <v>24</v>
      </c>
      <c r="G15" s="70" t="s">
        <v>25</v>
      </c>
      <c r="H15" s="72" t="s">
        <v>27</v>
      </c>
      <c r="I15" s="75" t="s">
        <v>66</v>
      </c>
      <c r="J15" s="76"/>
      <c r="K15" s="76" t="s">
        <v>29</v>
      </c>
    </row>
    <row r="16" spans="1:11" s="14" customFormat="1" ht="31.5" customHeight="1" x14ac:dyDescent="0.4">
      <c r="B16" s="68" t="s">
        <v>76</v>
      </c>
      <c r="C16" s="79"/>
      <c r="D16" s="26" t="s">
        <v>77</v>
      </c>
      <c r="E16" s="27" t="s">
        <v>77</v>
      </c>
      <c r="F16" s="28" t="s">
        <v>23</v>
      </c>
      <c r="G16" s="71"/>
      <c r="H16" s="73"/>
      <c r="I16" s="75"/>
      <c r="J16" s="77"/>
      <c r="K16" s="77"/>
    </row>
    <row r="17" spans="1:11" s="14" customFormat="1" ht="31.5" customHeight="1" x14ac:dyDescent="0.4">
      <c r="B17" s="80">
        <v>0.05</v>
      </c>
      <c r="C17" s="80">
        <v>0.05</v>
      </c>
      <c r="D17" s="80">
        <v>0.1</v>
      </c>
      <c r="E17" s="80">
        <v>0.1</v>
      </c>
      <c r="F17" s="90">
        <v>0.7</v>
      </c>
      <c r="G17" s="53" t="s">
        <v>26</v>
      </c>
      <c r="H17" s="74"/>
      <c r="I17" s="70"/>
      <c r="J17" s="77"/>
      <c r="K17" s="77"/>
    </row>
    <row r="18" spans="1:11" s="14" customFormat="1" ht="31.5" customHeight="1" x14ac:dyDescent="0.4">
      <c r="A18" s="23" t="s">
        <v>4</v>
      </c>
      <c r="B18" s="81"/>
      <c r="C18" s="81"/>
      <c r="D18" s="81"/>
      <c r="E18" s="81"/>
      <c r="F18" s="91"/>
      <c r="G18" s="29">
        <v>1</v>
      </c>
      <c r="H18" s="28" t="s">
        <v>28</v>
      </c>
      <c r="I18" s="43" t="s">
        <v>65</v>
      </c>
      <c r="J18" s="48" t="s">
        <v>67</v>
      </c>
      <c r="K18" s="78"/>
    </row>
    <row r="19" spans="1:11" s="3" customFormat="1" ht="41.25" customHeight="1" x14ac:dyDescent="0.4">
      <c r="A19" s="57" t="s">
        <v>6</v>
      </c>
      <c r="B19" s="33">
        <v>4</v>
      </c>
      <c r="C19" s="33">
        <v>4</v>
      </c>
      <c r="D19" s="33">
        <v>12</v>
      </c>
      <c r="E19" s="33">
        <v>7</v>
      </c>
      <c r="F19" s="33">
        <v>19</v>
      </c>
      <c r="G19" s="31">
        <f t="shared" ref="G19:G28" si="0">SUM(B19:F19)</f>
        <v>46</v>
      </c>
      <c r="H19" s="38">
        <v>59</v>
      </c>
      <c r="I19" s="31" t="s">
        <v>113</v>
      </c>
      <c r="J19" s="33" t="str">
        <f t="shared" ref="J19:J28" si="1">IF(G19&gt;=75,"A1",IF(G19&gt;=70,"B2",IF(G19&gt;=65,"B3",IF(G19&gt;=60,"C4",IF(G19&gt;=55,"C5",IF(G19&gt;=50,"C6",IF(G19&gt;=45,"D7",IF(G19&gt;=40,"E8","F9"))))))))</f>
        <v>D7</v>
      </c>
      <c r="K19" s="34" t="str">
        <f>IF(G19&gt;=70,"EXCELLENT",IF(G19&gt;=60,"V.GOOD",IF(G19&gt;=50,"GOOD",IF(G19&gt;=45,"PASS",IF(G19&gt;=40,"FAIR",IF(G19&lt;=39,"FAIL"))))))</f>
        <v>PASS</v>
      </c>
    </row>
    <row r="20" spans="1:11" s="3" customFormat="1" ht="41.25" customHeight="1" x14ac:dyDescent="0.4">
      <c r="A20" s="57" t="s">
        <v>7</v>
      </c>
      <c r="B20" s="33">
        <v>7</v>
      </c>
      <c r="C20" s="33">
        <v>6</v>
      </c>
      <c r="D20" s="33">
        <v>14</v>
      </c>
      <c r="E20" s="33">
        <v>14</v>
      </c>
      <c r="F20" s="33">
        <v>18</v>
      </c>
      <c r="G20" s="33">
        <f t="shared" si="0"/>
        <v>59</v>
      </c>
      <c r="H20" s="39">
        <v>60.8</v>
      </c>
      <c r="I20" s="33" t="s">
        <v>112</v>
      </c>
      <c r="J20" s="33" t="str">
        <f t="shared" si="1"/>
        <v>C5</v>
      </c>
      <c r="K20" s="34" t="str">
        <f t="shared" ref="K20:K28" si="2">IF(G20&gt;=70,"EXCELLENT",IF(G20&gt;=60,"V.GOOD",IF(G20&gt;=50,"GOOD",IF(G20&gt;=45,"PASS",IF(G20&gt;=40,"FAIR",IF(G20&lt;=39,"FAIL"))))))</f>
        <v>GOOD</v>
      </c>
    </row>
    <row r="21" spans="1:11" s="3" customFormat="1" ht="41.25" customHeight="1" x14ac:dyDescent="0.4">
      <c r="A21" s="57" t="s">
        <v>173</v>
      </c>
      <c r="B21" s="33">
        <v>6</v>
      </c>
      <c r="C21" s="33">
        <v>6</v>
      </c>
      <c r="D21" s="33">
        <v>8</v>
      </c>
      <c r="E21" s="33">
        <v>16</v>
      </c>
      <c r="F21" s="33">
        <v>25</v>
      </c>
      <c r="G21" s="33">
        <f t="shared" si="0"/>
        <v>61</v>
      </c>
      <c r="H21" s="39">
        <v>57.6</v>
      </c>
      <c r="I21" s="33" t="s">
        <v>111</v>
      </c>
      <c r="J21" s="33" t="str">
        <f t="shared" si="1"/>
        <v>C4</v>
      </c>
      <c r="K21" s="34" t="str">
        <f t="shared" si="2"/>
        <v>V.GOOD</v>
      </c>
    </row>
    <row r="22" spans="1:11" s="3" customFormat="1" ht="41.25" customHeight="1" x14ac:dyDescent="0.4">
      <c r="A22" s="57" t="s">
        <v>13</v>
      </c>
      <c r="B22" s="33">
        <v>10</v>
      </c>
      <c r="C22" s="33">
        <v>10</v>
      </c>
      <c r="D22" s="33">
        <v>13</v>
      </c>
      <c r="E22" s="33">
        <v>13</v>
      </c>
      <c r="F22" s="33">
        <v>10</v>
      </c>
      <c r="G22" s="33">
        <f t="shared" si="0"/>
        <v>56</v>
      </c>
      <c r="H22" s="39">
        <v>61</v>
      </c>
      <c r="I22" s="33" t="s">
        <v>114</v>
      </c>
      <c r="J22" s="33" t="str">
        <f t="shared" si="1"/>
        <v>C5</v>
      </c>
      <c r="K22" s="34" t="str">
        <f t="shared" si="2"/>
        <v>GOOD</v>
      </c>
    </row>
    <row r="23" spans="1:11" s="3" customFormat="1" ht="41.25" customHeight="1" x14ac:dyDescent="0.4">
      <c r="A23" s="57" t="s">
        <v>155</v>
      </c>
      <c r="B23" s="33">
        <v>3</v>
      </c>
      <c r="C23" s="33">
        <v>5</v>
      </c>
      <c r="D23" s="33">
        <v>10</v>
      </c>
      <c r="E23" s="33">
        <v>10</v>
      </c>
      <c r="F23" s="33">
        <v>19</v>
      </c>
      <c r="G23" s="33">
        <f t="shared" si="0"/>
        <v>47</v>
      </c>
      <c r="H23" s="39">
        <v>54.8</v>
      </c>
      <c r="I23" s="33" t="s">
        <v>114</v>
      </c>
      <c r="J23" s="33" t="str">
        <f t="shared" si="1"/>
        <v>D7</v>
      </c>
      <c r="K23" s="34" t="str">
        <f t="shared" si="2"/>
        <v>PASS</v>
      </c>
    </row>
    <row r="24" spans="1:11" s="3" customFormat="1" ht="41.25" customHeight="1" x14ac:dyDescent="0.4">
      <c r="A24" s="57" t="s">
        <v>156</v>
      </c>
      <c r="B24" s="33">
        <v>4</v>
      </c>
      <c r="C24" s="33">
        <v>7</v>
      </c>
      <c r="D24" s="33">
        <v>10</v>
      </c>
      <c r="E24" s="33">
        <v>9</v>
      </c>
      <c r="F24" s="33">
        <v>21</v>
      </c>
      <c r="G24" s="33">
        <f t="shared" si="0"/>
        <v>51</v>
      </c>
      <c r="H24" s="39">
        <v>62.5</v>
      </c>
      <c r="I24" s="33" t="s">
        <v>115</v>
      </c>
      <c r="J24" s="33" t="str">
        <f t="shared" si="1"/>
        <v>C6</v>
      </c>
      <c r="K24" s="34" t="str">
        <f t="shared" si="2"/>
        <v>GOOD</v>
      </c>
    </row>
    <row r="25" spans="1:11" s="3" customFormat="1" ht="41.25" customHeight="1" x14ac:dyDescent="0.4">
      <c r="A25" s="57" t="s">
        <v>157</v>
      </c>
      <c r="B25" s="33">
        <v>10</v>
      </c>
      <c r="C25" s="33">
        <v>9</v>
      </c>
      <c r="D25" s="33">
        <v>8</v>
      </c>
      <c r="E25" s="33">
        <v>9</v>
      </c>
      <c r="F25" s="33">
        <v>15</v>
      </c>
      <c r="G25" s="33">
        <f t="shared" si="0"/>
        <v>51</v>
      </c>
      <c r="H25" s="39">
        <v>61.8</v>
      </c>
      <c r="I25" s="33" t="s">
        <v>114</v>
      </c>
      <c r="J25" s="33" t="str">
        <f t="shared" si="1"/>
        <v>C6</v>
      </c>
      <c r="K25" s="34" t="str">
        <f t="shared" si="2"/>
        <v>GOOD</v>
      </c>
    </row>
    <row r="26" spans="1:11" s="3" customFormat="1" ht="41.25" customHeight="1" x14ac:dyDescent="0.4">
      <c r="A26" s="57" t="s">
        <v>174</v>
      </c>
      <c r="B26" s="33">
        <v>5</v>
      </c>
      <c r="C26" s="33">
        <v>4</v>
      </c>
      <c r="D26" s="33">
        <v>7</v>
      </c>
      <c r="E26" s="33">
        <v>14</v>
      </c>
      <c r="F26" s="33">
        <v>33</v>
      </c>
      <c r="G26" s="33">
        <f t="shared" si="0"/>
        <v>63</v>
      </c>
      <c r="H26" s="39">
        <v>68.2</v>
      </c>
      <c r="I26" s="33" t="s">
        <v>114</v>
      </c>
      <c r="J26" s="33" t="str">
        <f t="shared" si="1"/>
        <v>C4</v>
      </c>
      <c r="K26" s="34" t="str">
        <f t="shared" si="2"/>
        <v>V.GOOD</v>
      </c>
    </row>
    <row r="27" spans="1:11" s="3" customFormat="1" ht="41.25" customHeight="1" x14ac:dyDescent="0.4">
      <c r="A27" s="57" t="s">
        <v>158</v>
      </c>
      <c r="B27" s="33">
        <v>7</v>
      </c>
      <c r="C27" s="33">
        <v>8</v>
      </c>
      <c r="D27" s="33">
        <v>20</v>
      </c>
      <c r="E27" s="33">
        <v>18</v>
      </c>
      <c r="F27" s="33">
        <v>20</v>
      </c>
      <c r="G27" s="33">
        <f t="shared" si="0"/>
        <v>73</v>
      </c>
      <c r="H27" s="39">
        <v>82.4</v>
      </c>
      <c r="I27" s="33" t="s">
        <v>115</v>
      </c>
      <c r="J27" s="33" t="str">
        <f t="shared" si="1"/>
        <v>B2</v>
      </c>
      <c r="K27" s="34" t="str">
        <f t="shared" si="2"/>
        <v>EXCELLENT</v>
      </c>
    </row>
    <row r="28" spans="1:11" s="3" customFormat="1" ht="41.25" customHeight="1" x14ac:dyDescent="0.4">
      <c r="A28" s="57" t="s">
        <v>175</v>
      </c>
      <c r="B28" s="33">
        <v>8</v>
      </c>
      <c r="C28" s="33">
        <v>9</v>
      </c>
      <c r="D28" s="33">
        <v>15</v>
      </c>
      <c r="E28" s="33">
        <v>16</v>
      </c>
      <c r="F28" s="33">
        <v>25</v>
      </c>
      <c r="G28" s="33">
        <f t="shared" si="0"/>
        <v>73</v>
      </c>
      <c r="H28" s="39">
        <v>70.8</v>
      </c>
      <c r="I28" s="33" t="s">
        <v>112</v>
      </c>
      <c r="J28" s="33" t="str">
        <f t="shared" si="1"/>
        <v>B2</v>
      </c>
      <c r="K28" s="34" t="str">
        <f t="shared" si="2"/>
        <v>EXCELLENT</v>
      </c>
    </row>
    <row r="29" spans="1:11" s="3" customFormat="1" ht="41.25" customHeight="1" x14ac:dyDescent="0.4">
      <c r="A29" s="58"/>
      <c r="B29" s="33"/>
      <c r="C29" s="33"/>
      <c r="D29" s="33"/>
      <c r="E29" s="33"/>
      <c r="F29" s="33"/>
      <c r="G29" s="33"/>
      <c r="H29" s="39"/>
      <c r="I29" s="33"/>
      <c r="J29" s="33"/>
      <c r="K29" s="34"/>
    </row>
    <row r="30" spans="1:11" s="3" customFormat="1" ht="41.25" customHeight="1" x14ac:dyDescent="0.4">
      <c r="A30" s="58"/>
      <c r="B30" s="33"/>
      <c r="C30" s="33"/>
      <c r="D30" s="33"/>
      <c r="E30" s="33"/>
      <c r="F30" s="33"/>
      <c r="G30" s="33"/>
      <c r="H30" s="39"/>
      <c r="I30" s="33"/>
      <c r="J30" s="33"/>
      <c r="K30" s="34"/>
    </row>
    <row r="31" spans="1:11" s="3" customFormat="1" ht="41.25" customHeight="1" x14ac:dyDescent="0.4">
      <c r="A31" s="58"/>
      <c r="B31" s="33"/>
      <c r="C31" s="33"/>
      <c r="D31" s="33"/>
      <c r="E31" s="33"/>
      <c r="F31" s="33"/>
      <c r="G31" s="33"/>
      <c r="H31" s="39"/>
      <c r="I31" s="33"/>
      <c r="J31" s="33"/>
      <c r="K31" s="34"/>
    </row>
    <row r="32" spans="1:11" s="3" customFormat="1" ht="41.25" customHeight="1" x14ac:dyDescent="0.4">
      <c r="A32" s="58"/>
      <c r="B32" s="33"/>
      <c r="C32" s="33"/>
      <c r="D32" s="33"/>
      <c r="E32" s="33"/>
      <c r="F32" s="33"/>
      <c r="G32" s="33"/>
      <c r="H32" s="39"/>
      <c r="I32" s="33"/>
      <c r="J32" s="33"/>
      <c r="K32" s="34"/>
    </row>
    <row r="33" spans="1:11" s="3" customFormat="1" ht="41.25" customHeight="1" x14ac:dyDescent="0.4">
      <c r="A33" s="58"/>
      <c r="B33" s="33"/>
      <c r="C33" s="33"/>
      <c r="D33" s="33"/>
      <c r="E33" s="33"/>
      <c r="F33" s="33"/>
      <c r="G33" s="33"/>
      <c r="H33" s="39"/>
      <c r="I33" s="33"/>
      <c r="J33" s="33"/>
      <c r="K33" s="34"/>
    </row>
    <row r="34" spans="1:11" s="3" customFormat="1" ht="41.25" customHeight="1" x14ac:dyDescent="0.4">
      <c r="A34" s="58"/>
      <c r="B34" s="33"/>
      <c r="C34" s="33"/>
      <c r="D34" s="33"/>
      <c r="E34" s="33"/>
      <c r="F34" s="33"/>
      <c r="G34" s="33"/>
      <c r="H34" s="39"/>
      <c r="I34" s="33"/>
      <c r="J34" s="33"/>
      <c r="K34" s="34"/>
    </row>
    <row r="35" spans="1:11" s="3" customFormat="1" ht="41.25" customHeight="1" x14ac:dyDescent="0.4">
      <c r="A35" s="58"/>
      <c r="B35" s="33"/>
      <c r="C35" s="33"/>
      <c r="D35" s="33"/>
      <c r="E35" s="33"/>
      <c r="F35" s="33"/>
      <c r="G35" s="33"/>
      <c r="H35" s="39"/>
      <c r="I35" s="33"/>
      <c r="J35" s="33"/>
      <c r="K35" s="34"/>
    </row>
    <row r="36" spans="1:11" s="3" customFormat="1" ht="41.25" customHeight="1" x14ac:dyDescent="0.4">
      <c r="A36" s="4"/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spans="1:11" s="3" customFormat="1" ht="41.25" customHeight="1" x14ac:dyDescent="0.4">
      <c r="A37" s="4"/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spans="1:11" s="3" customFormat="1" ht="31.5" customHeight="1" x14ac:dyDescent="0.35">
      <c r="A38" s="5"/>
    </row>
    <row r="39" spans="1:11" s="3" customFormat="1" ht="31.5" customHeight="1" x14ac:dyDescent="0.45">
      <c r="A39" s="56" t="s">
        <v>58</v>
      </c>
      <c r="B39" s="36">
        <f>SUM(G19:G35)</f>
        <v>580</v>
      </c>
      <c r="C39" s="22"/>
      <c r="D39" s="22"/>
      <c r="E39" s="37"/>
      <c r="F39" s="92" t="s">
        <v>49</v>
      </c>
      <c r="G39" s="92"/>
      <c r="H39" s="93">
        <f>B39</f>
        <v>580</v>
      </c>
      <c r="I39" s="93"/>
      <c r="J39" s="92" t="s">
        <v>50</v>
      </c>
      <c r="K39" s="82">
        <f>H39/17</f>
        <v>34.117647058823529</v>
      </c>
    </row>
    <row r="40" spans="1:11" s="3" customFormat="1" ht="31.5" customHeight="1" x14ac:dyDescent="0.45">
      <c r="A40" s="37"/>
      <c r="B40" s="22"/>
      <c r="C40" s="22"/>
      <c r="D40" s="22"/>
      <c r="E40" s="37"/>
      <c r="F40" s="92"/>
      <c r="G40" s="92"/>
      <c r="H40" s="83">
        <v>17</v>
      </c>
      <c r="I40" s="83"/>
      <c r="J40" s="92"/>
      <c r="K40" s="82"/>
    </row>
    <row r="41" spans="1:11" s="3" customFormat="1" ht="31.5" customHeight="1" x14ac:dyDescent="0.35">
      <c r="A41" s="5"/>
      <c r="E41" s="5"/>
      <c r="F41" s="5"/>
      <c r="G41" s="5"/>
      <c r="H41" s="8"/>
      <c r="I41" s="8"/>
      <c r="J41" s="12"/>
      <c r="K41" s="13"/>
    </row>
    <row r="42" spans="1:11" s="3" customFormat="1" ht="33.75" customHeight="1" x14ac:dyDescent="0.35">
      <c r="A42" s="5"/>
      <c r="D42" s="84" t="s">
        <v>30</v>
      </c>
      <c r="E42" s="84"/>
      <c r="F42" s="84"/>
      <c r="G42" s="84"/>
      <c r="H42" s="84"/>
    </row>
    <row r="43" spans="1:11" s="3" customFormat="1" ht="33.75" customHeight="1" x14ac:dyDescent="0.35">
      <c r="A43" s="85" t="s">
        <v>31</v>
      </c>
      <c r="B43" s="86"/>
      <c r="C43" s="87"/>
      <c r="D43" s="42" t="s">
        <v>44</v>
      </c>
      <c r="E43" s="41" t="s">
        <v>45</v>
      </c>
      <c r="F43" s="41" t="s">
        <v>46</v>
      </c>
      <c r="G43" s="41" t="s">
        <v>47</v>
      </c>
      <c r="H43" s="41" t="s">
        <v>48</v>
      </c>
      <c r="I43" s="9"/>
      <c r="J43" s="11" t="s">
        <v>51</v>
      </c>
      <c r="K43" s="5"/>
    </row>
    <row r="44" spans="1:11" s="3" customFormat="1" ht="33.75" customHeight="1" x14ac:dyDescent="0.35">
      <c r="A44" s="88" t="s">
        <v>32</v>
      </c>
      <c r="B44" s="88"/>
      <c r="C44" s="89"/>
      <c r="D44" s="45" t="s">
        <v>124</v>
      </c>
      <c r="E44" s="46"/>
      <c r="F44" s="7"/>
      <c r="G44" s="7"/>
      <c r="H44" s="7"/>
      <c r="I44" s="9"/>
      <c r="J44" s="5" t="s">
        <v>52</v>
      </c>
      <c r="K44" s="5"/>
    </row>
    <row r="45" spans="1:11" s="3" customFormat="1" ht="33.75" customHeight="1" x14ac:dyDescent="0.35">
      <c r="A45" s="88" t="s">
        <v>33</v>
      </c>
      <c r="B45" s="88"/>
      <c r="C45" s="88"/>
      <c r="D45" s="6"/>
      <c r="E45" s="45" t="s">
        <v>124</v>
      </c>
      <c r="F45" s="7"/>
      <c r="G45" s="7"/>
      <c r="H45" s="7"/>
      <c r="I45" s="9"/>
      <c r="J45" s="5" t="s">
        <v>53</v>
      </c>
      <c r="K45" s="5"/>
    </row>
    <row r="46" spans="1:11" s="3" customFormat="1" ht="33.75" customHeight="1" x14ac:dyDescent="0.35">
      <c r="A46" s="88" t="s">
        <v>34</v>
      </c>
      <c r="B46" s="88"/>
      <c r="C46" s="88"/>
      <c r="D46" s="7"/>
      <c r="E46" s="7"/>
      <c r="F46" s="7"/>
      <c r="G46" s="45" t="s">
        <v>124</v>
      </c>
      <c r="H46" s="7"/>
      <c r="I46" s="9"/>
      <c r="J46" s="5" t="s">
        <v>54</v>
      </c>
      <c r="K46" s="5"/>
    </row>
    <row r="47" spans="1:11" s="3" customFormat="1" ht="33.75" customHeight="1" x14ac:dyDescent="0.35">
      <c r="A47" s="88" t="s">
        <v>35</v>
      </c>
      <c r="B47" s="88"/>
      <c r="C47" s="88"/>
      <c r="D47" s="7"/>
      <c r="E47" s="7"/>
      <c r="F47" s="7"/>
      <c r="G47" s="45" t="s">
        <v>124</v>
      </c>
      <c r="H47" s="7"/>
      <c r="I47" s="9"/>
      <c r="J47" s="5" t="s">
        <v>55</v>
      </c>
      <c r="K47" s="5"/>
    </row>
    <row r="48" spans="1:11" s="3" customFormat="1" ht="33.75" customHeight="1" x14ac:dyDescent="0.35">
      <c r="A48" s="88" t="s">
        <v>36</v>
      </c>
      <c r="B48" s="88"/>
      <c r="C48" s="88"/>
      <c r="D48" s="7"/>
      <c r="E48" s="45" t="s">
        <v>124</v>
      </c>
      <c r="F48" s="7"/>
      <c r="G48" s="7"/>
      <c r="H48" s="7"/>
      <c r="I48" s="9"/>
      <c r="J48" s="5" t="s">
        <v>56</v>
      </c>
      <c r="K48" s="5"/>
    </row>
    <row r="49" spans="1:11" s="3" customFormat="1" ht="33.75" customHeight="1" x14ac:dyDescent="0.35">
      <c r="A49" s="88" t="s">
        <v>37</v>
      </c>
      <c r="B49" s="88"/>
      <c r="C49" s="88"/>
      <c r="D49" s="7"/>
      <c r="E49" s="7"/>
      <c r="F49" s="7"/>
      <c r="G49" s="45" t="s">
        <v>124</v>
      </c>
      <c r="H49" s="7"/>
      <c r="I49" s="9"/>
      <c r="J49" s="5" t="s">
        <v>57</v>
      </c>
      <c r="K49" s="5"/>
    </row>
    <row r="50" spans="1:11" s="3" customFormat="1" ht="33.75" customHeight="1" x14ac:dyDescent="0.35">
      <c r="A50" s="88" t="s">
        <v>38</v>
      </c>
      <c r="B50" s="88"/>
      <c r="C50" s="88"/>
      <c r="D50" s="7"/>
      <c r="E50" s="45" t="s">
        <v>124</v>
      </c>
      <c r="F50" s="7"/>
      <c r="G50" s="7"/>
      <c r="H50" s="7"/>
      <c r="I50" s="9"/>
    </row>
    <row r="51" spans="1:11" s="3" customFormat="1" ht="33.75" customHeight="1" x14ac:dyDescent="0.35">
      <c r="A51" s="88" t="s">
        <v>39</v>
      </c>
      <c r="B51" s="88"/>
      <c r="C51" s="88"/>
      <c r="D51" s="7"/>
      <c r="E51" s="45" t="s">
        <v>124</v>
      </c>
      <c r="F51" s="45"/>
      <c r="G51" s="7"/>
      <c r="H51" s="7"/>
      <c r="I51" s="9"/>
    </row>
    <row r="52" spans="1:11" s="3" customFormat="1" ht="33.75" customHeight="1" x14ac:dyDescent="0.35">
      <c r="A52" s="88" t="s">
        <v>40</v>
      </c>
      <c r="B52" s="88"/>
      <c r="C52" s="88"/>
      <c r="D52" s="7"/>
      <c r="E52" s="45" t="s">
        <v>124</v>
      </c>
      <c r="F52" s="45"/>
      <c r="G52" s="7"/>
      <c r="H52" s="7"/>
      <c r="I52" s="9"/>
    </row>
    <row r="53" spans="1:11" s="3" customFormat="1" ht="33.75" customHeight="1" x14ac:dyDescent="0.35">
      <c r="A53" s="88" t="s">
        <v>41</v>
      </c>
      <c r="B53" s="88"/>
      <c r="C53" s="88"/>
      <c r="D53" s="7"/>
      <c r="E53" s="45" t="s">
        <v>124</v>
      </c>
      <c r="F53" s="7"/>
      <c r="G53" s="7"/>
      <c r="H53" s="7"/>
      <c r="I53" s="9"/>
    </row>
    <row r="54" spans="1:11" s="3" customFormat="1" ht="33.75" customHeight="1" x14ac:dyDescent="0.35">
      <c r="A54" s="88" t="s">
        <v>42</v>
      </c>
      <c r="B54" s="88"/>
      <c r="C54" s="88"/>
      <c r="D54" s="45" t="s">
        <v>124</v>
      </c>
      <c r="E54" s="7"/>
      <c r="F54" s="7"/>
      <c r="G54" s="7"/>
      <c r="H54" s="7"/>
      <c r="I54" s="9"/>
    </row>
    <row r="55" spans="1:11" s="3" customFormat="1" ht="33.75" customHeight="1" x14ac:dyDescent="0.35">
      <c r="A55" s="88" t="s">
        <v>43</v>
      </c>
      <c r="B55" s="88"/>
      <c r="C55" s="88"/>
      <c r="D55" s="7"/>
      <c r="E55" s="45" t="s">
        <v>124</v>
      </c>
      <c r="F55" s="45"/>
      <c r="G55" s="7"/>
      <c r="H55" s="7"/>
      <c r="I55" s="9"/>
    </row>
    <row r="56" spans="1:11" ht="54.75" customHeight="1" x14ac:dyDescent="0.25"/>
    <row r="57" spans="1:11" s="15" customFormat="1" ht="36.75" customHeight="1" x14ac:dyDescent="0.4">
      <c r="A57" s="17" t="s">
        <v>78</v>
      </c>
      <c r="B57" s="17"/>
      <c r="C57" s="94" t="s">
        <v>125</v>
      </c>
      <c r="D57" s="94"/>
      <c r="E57" s="94"/>
      <c r="F57" s="94"/>
      <c r="G57" s="94"/>
      <c r="H57" s="94"/>
      <c r="I57" s="94"/>
      <c r="J57" s="94"/>
      <c r="K57" s="16"/>
    </row>
    <row r="58" spans="1:11" s="15" customFormat="1" ht="42.75" customHeight="1" x14ac:dyDescent="0.4">
      <c r="A58" s="17" t="s">
        <v>80</v>
      </c>
      <c r="B58" s="17"/>
      <c r="C58" s="95" t="s">
        <v>107</v>
      </c>
      <c r="D58" s="95"/>
      <c r="E58" s="95"/>
      <c r="F58" s="95"/>
      <c r="G58" s="95"/>
      <c r="H58" s="95"/>
      <c r="I58" s="16"/>
      <c r="J58" s="16"/>
      <c r="K58" s="16"/>
    </row>
    <row r="59" spans="1:11" s="15" customFormat="1" ht="31.5" customHeight="1" x14ac:dyDescent="0.4">
      <c r="A59" s="17"/>
      <c r="B59" s="17"/>
      <c r="C59" s="18"/>
      <c r="D59" s="18"/>
      <c r="E59" s="18"/>
      <c r="F59" s="18"/>
      <c r="G59" s="18"/>
      <c r="H59" s="18"/>
      <c r="I59" s="16"/>
      <c r="J59" s="16"/>
      <c r="K59" s="16"/>
    </row>
    <row r="60" spans="1:11" s="15" customFormat="1" ht="31.5" customHeight="1" x14ac:dyDescent="0.4">
      <c r="A60" s="17" t="s">
        <v>81</v>
      </c>
      <c r="B60" s="17"/>
      <c r="C60" s="94" t="s">
        <v>126</v>
      </c>
      <c r="D60" s="94"/>
      <c r="E60" s="94"/>
      <c r="F60" s="94"/>
      <c r="G60" s="94"/>
      <c r="H60" s="94"/>
      <c r="I60" s="94"/>
      <c r="J60" s="94"/>
      <c r="K60" s="16"/>
    </row>
    <row r="61" spans="1:11" s="15" customFormat="1" ht="46.5" customHeight="1" x14ac:dyDescent="0.4">
      <c r="A61" s="17" t="s">
        <v>80</v>
      </c>
      <c r="B61" s="17"/>
      <c r="C61" s="95" t="s">
        <v>107</v>
      </c>
      <c r="D61" s="95"/>
      <c r="E61" s="95"/>
      <c r="F61" s="95"/>
      <c r="G61" s="95"/>
      <c r="H61" s="95"/>
      <c r="I61" s="16"/>
      <c r="J61" s="16"/>
      <c r="K61" s="16"/>
    </row>
    <row r="62" spans="1:11" s="14" customFormat="1" ht="31.5" customHeight="1" x14ac:dyDescent="0.4"/>
    <row r="63" spans="1:11" ht="66" customHeight="1" x14ac:dyDescent="0.25">
      <c r="A63" s="62" t="s">
        <v>0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</row>
    <row r="64" spans="1:11" ht="27.75" customHeight="1" x14ac:dyDescent="0.3">
      <c r="A64" s="63" t="s">
        <v>1</v>
      </c>
      <c r="B64" s="63"/>
      <c r="C64" s="63"/>
      <c r="D64" s="63"/>
      <c r="E64" s="63"/>
      <c r="F64" s="63"/>
      <c r="G64" s="63"/>
      <c r="H64" s="63"/>
      <c r="I64" s="63"/>
      <c r="J64" s="63"/>
      <c r="K64" s="63"/>
    </row>
    <row r="65" spans="1:11" ht="46.5" customHeight="1" x14ac:dyDescent="0.25">
      <c r="A65" s="64" t="s">
        <v>2</v>
      </c>
      <c r="B65" s="64"/>
      <c r="C65" s="64"/>
      <c r="D65" s="64"/>
      <c r="E65" s="64"/>
      <c r="F65" s="64"/>
      <c r="G65" s="64"/>
      <c r="H65" s="64"/>
      <c r="I65" s="64"/>
      <c r="J65" s="64"/>
      <c r="K65" s="64"/>
    </row>
    <row r="66" spans="1:11" ht="39" customHeight="1" x14ac:dyDescent="0.55000000000000004">
      <c r="A66" s="65" t="s">
        <v>144</v>
      </c>
      <c r="B66" s="65"/>
      <c r="C66" s="65"/>
      <c r="D66" s="65"/>
      <c r="E66" s="65"/>
      <c r="F66" s="65"/>
      <c r="G66" s="65"/>
      <c r="H66" s="65"/>
      <c r="I66" s="65"/>
      <c r="J66" s="65"/>
      <c r="K66" s="65"/>
    </row>
    <row r="67" spans="1:11" ht="31.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s="20" customFormat="1" ht="31.5" customHeight="1" x14ac:dyDescent="0.4">
      <c r="A68" s="19" t="s">
        <v>60</v>
      </c>
      <c r="B68" s="59" t="s">
        <v>168</v>
      </c>
      <c r="C68" s="59"/>
      <c r="D68" s="59"/>
      <c r="E68" s="59"/>
      <c r="F68" s="59"/>
      <c r="G68" s="19" t="s">
        <v>59</v>
      </c>
      <c r="H68" s="47" t="s">
        <v>159</v>
      </c>
      <c r="I68" s="19" t="s">
        <v>75</v>
      </c>
      <c r="J68" s="59" t="str">
        <f>J7</f>
        <v>SS 1</v>
      </c>
      <c r="K68" s="66"/>
    </row>
    <row r="69" spans="1:11" s="20" customFormat="1" ht="31.5" customHeight="1" x14ac:dyDescent="0.4">
      <c r="A69" s="19" t="s">
        <v>61</v>
      </c>
      <c r="B69" s="59" t="s">
        <v>84</v>
      </c>
      <c r="C69" s="59"/>
      <c r="D69" s="19" t="s">
        <v>68</v>
      </c>
      <c r="E69" s="59" t="s">
        <v>166</v>
      </c>
      <c r="F69" s="59"/>
      <c r="G69" s="59"/>
      <c r="H69" s="59"/>
      <c r="I69" s="19" t="s">
        <v>69</v>
      </c>
      <c r="J69" s="59" t="s">
        <v>85</v>
      </c>
      <c r="K69" s="59"/>
    </row>
    <row r="70" spans="1:11" s="20" customFormat="1" ht="35.25" customHeight="1" x14ac:dyDescent="0.4">
      <c r="A70" s="19" t="s">
        <v>63</v>
      </c>
      <c r="B70" s="47" t="str">
        <f>B9</f>
        <v>First Term 24/25 Session</v>
      </c>
      <c r="C70" s="47"/>
      <c r="D70" s="47"/>
      <c r="E70" s="55"/>
      <c r="F70" s="19" t="s">
        <v>62</v>
      </c>
      <c r="H70" s="47">
        <f>H9</f>
        <v>17</v>
      </c>
      <c r="I70" s="19" t="s">
        <v>70</v>
      </c>
      <c r="J70" s="59"/>
      <c r="K70" s="59"/>
    </row>
    <row r="71" spans="1:11" s="20" customFormat="1" ht="39" customHeight="1" x14ac:dyDescent="0.4">
      <c r="A71" s="19" t="s">
        <v>71</v>
      </c>
      <c r="B71" s="21" t="str">
        <f>B10</f>
        <v>25th March, 2025</v>
      </c>
      <c r="C71" s="21"/>
      <c r="D71" s="21"/>
      <c r="E71" s="21"/>
      <c r="F71" s="19" t="s">
        <v>73</v>
      </c>
      <c r="G71" s="19"/>
      <c r="H71" s="24" t="str">
        <f>H10</f>
        <v>28th April, 2025</v>
      </c>
      <c r="I71" s="21"/>
      <c r="J71" s="21"/>
      <c r="K71" s="21"/>
    </row>
    <row r="72" spans="1:11" s="20" customFormat="1" ht="39.75" customHeight="1" x14ac:dyDescent="0.4">
      <c r="A72" s="19" t="s">
        <v>72</v>
      </c>
      <c r="B72" s="21"/>
      <c r="C72" s="60"/>
      <c r="D72" s="60"/>
      <c r="E72" s="60"/>
      <c r="F72" s="19" t="s">
        <v>74</v>
      </c>
      <c r="G72" s="19"/>
      <c r="H72" s="61"/>
      <c r="I72" s="61"/>
      <c r="J72" s="61"/>
      <c r="K72" s="61"/>
    </row>
    <row r="73" spans="1:11" s="20" customFormat="1" ht="21" customHeight="1" x14ac:dyDescent="0.4">
      <c r="A73" s="19"/>
      <c r="B73" s="21"/>
      <c r="C73" s="51"/>
      <c r="D73" s="51"/>
      <c r="E73" s="51"/>
      <c r="F73" s="19"/>
      <c r="G73" s="19"/>
      <c r="H73" s="52"/>
      <c r="I73" s="52"/>
      <c r="J73" s="52"/>
      <c r="K73" s="52"/>
    </row>
    <row r="74" spans="1:11" s="20" customFormat="1" ht="34.5" x14ac:dyDescent="0.45">
      <c r="A74" s="19"/>
      <c r="B74" s="67" t="s">
        <v>164</v>
      </c>
      <c r="C74" s="67"/>
      <c r="D74" s="67"/>
      <c r="E74" s="67"/>
      <c r="F74" s="67"/>
      <c r="G74" s="67"/>
      <c r="H74" s="67"/>
      <c r="I74" s="67"/>
      <c r="J74" s="67"/>
      <c r="K74" s="67"/>
    </row>
    <row r="75" spans="1:11" s="14" customFormat="1" ht="36.75" customHeight="1" x14ac:dyDescent="0.45">
      <c r="A75" s="15"/>
      <c r="B75" s="67" t="s">
        <v>5</v>
      </c>
      <c r="C75" s="67"/>
      <c r="D75" s="67"/>
      <c r="E75" s="67"/>
      <c r="F75" s="67"/>
      <c r="G75" s="67"/>
      <c r="H75" s="67"/>
      <c r="I75" s="67"/>
      <c r="J75" s="67"/>
      <c r="K75" s="67"/>
    </row>
    <row r="76" spans="1:11" s="14" customFormat="1" ht="31.5" customHeight="1" x14ac:dyDescent="0.4">
      <c r="B76" s="68" t="s">
        <v>22</v>
      </c>
      <c r="C76" s="69"/>
      <c r="D76" s="69"/>
      <c r="E76" s="69"/>
      <c r="F76" s="49" t="s">
        <v>24</v>
      </c>
      <c r="G76" s="70" t="s">
        <v>25</v>
      </c>
      <c r="H76" s="72" t="s">
        <v>27</v>
      </c>
      <c r="I76" s="75" t="s">
        <v>66</v>
      </c>
      <c r="J76" s="76"/>
      <c r="K76" s="76" t="s">
        <v>29</v>
      </c>
    </row>
    <row r="77" spans="1:11" s="14" customFormat="1" ht="31.5" customHeight="1" x14ac:dyDescent="0.4">
      <c r="B77" s="68" t="s">
        <v>76</v>
      </c>
      <c r="C77" s="79"/>
      <c r="D77" s="26" t="s">
        <v>77</v>
      </c>
      <c r="E77" s="27" t="s">
        <v>77</v>
      </c>
      <c r="F77" s="28" t="s">
        <v>23</v>
      </c>
      <c r="G77" s="71"/>
      <c r="H77" s="73"/>
      <c r="I77" s="75"/>
      <c r="J77" s="77"/>
      <c r="K77" s="77"/>
    </row>
    <row r="78" spans="1:11" s="14" customFormat="1" ht="31.5" customHeight="1" x14ac:dyDescent="0.4">
      <c r="B78" s="80">
        <v>0.05</v>
      </c>
      <c r="C78" s="80">
        <v>0.05</v>
      </c>
      <c r="D78" s="80">
        <v>0.1</v>
      </c>
      <c r="E78" s="80">
        <v>0.1</v>
      </c>
      <c r="F78" s="90">
        <v>0.7</v>
      </c>
      <c r="G78" s="53" t="s">
        <v>26</v>
      </c>
      <c r="H78" s="74"/>
      <c r="I78" s="70"/>
      <c r="J78" s="77"/>
      <c r="K78" s="77"/>
    </row>
    <row r="79" spans="1:11" s="14" customFormat="1" ht="31.5" customHeight="1" x14ac:dyDescent="0.4">
      <c r="A79" s="23" t="s">
        <v>4</v>
      </c>
      <c r="B79" s="81"/>
      <c r="C79" s="81"/>
      <c r="D79" s="81"/>
      <c r="E79" s="81"/>
      <c r="F79" s="91"/>
      <c r="G79" s="29">
        <v>1</v>
      </c>
      <c r="H79" s="28" t="s">
        <v>28</v>
      </c>
      <c r="I79" s="43" t="s">
        <v>65</v>
      </c>
      <c r="J79" s="48" t="s">
        <v>67</v>
      </c>
      <c r="K79" s="78"/>
    </row>
    <row r="80" spans="1:11" s="3" customFormat="1" ht="41.25" customHeight="1" x14ac:dyDescent="0.4">
      <c r="A80" s="57" t="s">
        <v>6</v>
      </c>
      <c r="B80" s="33">
        <v>8</v>
      </c>
      <c r="C80" s="33">
        <v>8</v>
      </c>
      <c r="D80" s="33">
        <v>10</v>
      </c>
      <c r="E80" s="33">
        <v>8</v>
      </c>
      <c r="F80" s="33">
        <v>19</v>
      </c>
      <c r="G80" s="31">
        <f t="shared" ref="G80:G89" si="3">SUM(B80:F80)</f>
        <v>53</v>
      </c>
      <c r="H80" s="38">
        <v>59</v>
      </c>
      <c r="I80" s="31" t="s">
        <v>116</v>
      </c>
      <c r="J80" s="33" t="str">
        <f t="shared" ref="J80:J89" si="4">IF(G80&gt;=75,"A1",IF(G80&gt;=70,"B2",IF(G80&gt;=65,"B3",IF(G80&gt;=60,"C4",IF(G80&gt;=55,"C5",IF(G80&gt;=50,"C6",IF(G80&gt;=45,"D7",IF(G80&gt;=40,"E8","F9"))))))))</f>
        <v>C6</v>
      </c>
      <c r="K80" s="34" t="str">
        <f>IF(G80&gt;=70,"EXCELLENT",IF(G80&gt;=60,"V.GOOD",IF(G80&gt;=50,"GOOD",IF(G80&gt;=45,"PASS",IF(G80&gt;=40,"FAIR",IF(G80&lt;=39,"FAIL"))))))</f>
        <v>GOOD</v>
      </c>
    </row>
    <row r="81" spans="1:11" s="3" customFormat="1" ht="41.25" customHeight="1" x14ac:dyDescent="0.4">
      <c r="A81" s="57" t="s">
        <v>7</v>
      </c>
      <c r="B81" s="33">
        <v>9</v>
      </c>
      <c r="C81" s="33">
        <v>7</v>
      </c>
      <c r="D81" s="33">
        <v>8</v>
      </c>
      <c r="E81" s="33">
        <v>8</v>
      </c>
      <c r="F81" s="33">
        <v>21</v>
      </c>
      <c r="G81" s="33">
        <f t="shared" si="3"/>
        <v>53</v>
      </c>
      <c r="H81" s="39">
        <v>60.8</v>
      </c>
      <c r="I81" s="33" t="s">
        <v>115</v>
      </c>
      <c r="J81" s="33" t="str">
        <f t="shared" si="4"/>
        <v>C6</v>
      </c>
      <c r="K81" s="34" t="str">
        <f t="shared" ref="K81:K89" si="5">IF(G81&gt;=70,"EXCELLENT",IF(G81&gt;=60,"V.GOOD",IF(G81&gt;=50,"GOOD",IF(G81&gt;=45,"PASS",IF(G81&gt;=40,"FAIR",IF(G81&lt;=39,"FAIL"))))))</f>
        <v>GOOD</v>
      </c>
    </row>
    <row r="82" spans="1:11" s="3" customFormat="1" ht="41.25" customHeight="1" x14ac:dyDescent="0.4">
      <c r="A82" s="57" t="s">
        <v>173</v>
      </c>
      <c r="B82" s="33">
        <v>4</v>
      </c>
      <c r="C82" s="33">
        <v>6</v>
      </c>
      <c r="D82" s="33">
        <v>10</v>
      </c>
      <c r="E82" s="33">
        <v>16</v>
      </c>
      <c r="F82" s="33">
        <v>22</v>
      </c>
      <c r="G82" s="33">
        <f t="shared" si="3"/>
        <v>58</v>
      </c>
      <c r="H82" s="39">
        <v>57.6</v>
      </c>
      <c r="I82" s="33" t="s">
        <v>116</v>
      </c>
      <c r="J82" s="33" t="str">
        <f t="shared" si="4"/>
        <v>C5</v>
      </c>
      <c r="K82" s="34" t="str">
        <f t="shared" si="5"/>
        <v>GOOD</v>
      </c>
    </row>
    <row r="83" spans="1:11" s="3" customFormat="1" ht="41.25" customHeight="1" x14ac:dyDescent="0.4">
      <c r="A83" s="57" t="s">
        <v>13</v>
      </c>
      <c r="B83" s="33">
        <v>10</v>
      </c>
      <c r="C83" s="33">
        <v>10</v>
      </c>
      <c r="D83" s="33">
        <v>8</v>
      </c>
      <c r="E83" s="33">
        <v>7</v>
      </c>
      <c r="F83" s="33">
        <v>15</v>
      </c>
      <c r="G83" s="33">
        <f t="shared" si="3"/>
        <v>50</v>
      </c>
      <c r="H83" s="39">
        <v>61</v>
      </c>
      <c r="I83" s="33" t="s">
        <v>113</v>
      </c>
      <c r="J83" s="33" t="str">
        <f t="shared" si="4"/>
        <v>C6</v>
      </c>
      <c r="K83" s="34" t="str">
        <f t="shared" si="5"/>
        <v>GOOD</v>
      </c>
    </row>
    <row r="84" spans="1:11" s="3" customFormat="1" ht="41.25" customHeight="1" x14ac:dyDescent="0.4">
      <c r="A84" s="57" t="s">
        <v>155</v>
      </c>
      <c r="B84" s="33">
        <v>3</v>
      </c>
      <c r="C84" s="33">
        <v>5</v>
      </c>
      <c r="D84" s="33">
        <v>7</v>
      </c>
      <c r="E84" s="33">
        <v>6</v>
      </c>
      <c r="F84" s="33">
        <v>18</v>
      </c>
      <c r="G84" s="33">
        <f t="shared" si="3"/>
        <v>39</v>
      </c>
      <c r="H84" s="39">
        <v>54.8</v>
      </c>
      <c r="I84" s="33" t="s">
        <v>113</v>
      </c>
      <c r="J84" s="33" t="str">
        <f t="shared" si="4"/>
        <v>F9</v>
      </c>
      <c r="K84" s="34" t="str">
        <f t="shared" si="5"/>
        <v>FAIL</v>
      </c>
    </row>
    <row r="85" spans="1:11" s="3" customFormat="1" ht="41.25" customHeight="1" x14ac:dyDescent="0.4">
      <c r="A85" s="57" t="s">
        <v>156</v>
      </c>
      <c r="B85" s="33">
        <v>3</v>
      </c>
      <c r="C85" s="33">
        <v>5</v>
      </c>
      <c r="D85" s="33">
        <v>9</v>
      </c>
      <c r="E85" s="33">
        <v>10</v>
      </c>
      <c r="F85" s="33">
        <v>23</v>
      </c>
      <c r="G85" s="33">
        <f t="shared" si="3"/>
        <v>50</v>
      </c>
      <c r="H85" s="39">
        <v>62.5</v>
      </c>
      <c r="I85" s="33" t="s">
        <v>113</v>
      </c>
      <c r="J85" s="33" t="str">
        <f t="shared" si="4"/>
        <v>C6</v>
      </c>
      <c r="K85" s="34" t="str">
        <f t="shared" si="5"/>
        <v>GOOD</v>
      </c>
    </row>
    <row r="86" spans="1:11" s="3" customFormat="1" ht="41.25" customHeight="1" x14ac:dyDescent="0.4">
      <c r="A86" s="57" t="s">
        <v>157</v>
      </c>
      <c r="B86" s="33">
        <v>10</v>
      </c>
      <c r="C86" s="33">
        <v>9</v>
      </c>
      <c r="D86" s="33">
        <v>8</v>
      </c>
      <c r="E86" s="33">
        <v>9</v>
      </c>
      <c r="F86" s="33">
        <v>15</v>
      </c>
      <c r="G86" s="33">
        <f t="shared" si="3"/>
        <v>51</v>
      </c>
      <c r="H86" s="39">
        <v>61.8</v>
      </c>
      <c r="I86" s="33" t="s">
        <v>116</v>
      </c>
      <c r="J86" s="33" t="str">
        <f t="shared" si="4"/>
        <v>C6</v>
      </c>
      <c r="K86" s="34" t="str">
        <f t="shared" si="5"/>
        <v>GOOD</v>
      </c>
    </row>
    <row r="87" spans="1:11" s="3" customFormat="1" ht="41.25" customHeight="1" x14ac:dyDescent="0.4">
      <c r="A87" s="57" t="s">
        <v>174</v>
      </c>
      <c r="B87" s="33">
        <v>7</v>
      </c>
      <c r="C87" s="33">
        <v>5</v>
      </c>
      <c r="D87" s="33">
        <v>10</v>
      </c>
      <c r="E87" s="33">
        <v>14</v>
      </c>
      <c r="F87" s="33">
        <v>21</v>
      </c>
      <c r="G87" s="33">
        <f t="shared" si="3"/>
        <v>57</v>
      </c>
      <c r="H87" s="39">
        <v>68.2</v>
      </c>
      <c r="I87" s="33" t="s">
        <v>115</v>
      </c>
      <c r="J87" s="33" t="str">
        <f t="shared" si="4"/>
        <v>C5</v>
      </c>
      <c r="K87" s="34" t="str">
        <f t="shared" si="5"/>
        <v>GOOD</v>
      </c>
    </row>
    <row r="88" spans="1:11" s="3" customFormat="1" ht="41.25" customHeight="1" x14ac:dyDescent="0.4">
      <c r="A88" s="57" t="s">
        <v>158</v>
      </c>
      <c r="B88" s="33">
        <v>8</v>
      </c>
      <c r="C88" s="33">
        <v>8</v>
      </c>
      <c r="D88" s="33">
        <v>15</v>
      </c>
      <c r="E88" s="33">
        <v>14</v>
      </c>
      <c r="F88" s="33">
        <v>22</v>
      </c>
      <c r="G88" s="33">
        <f t="shared" si="3"/>
        <v>67</v>
      </c>
      <c r="H88" s="39">
        <v>82.4</v>
      </c>
      <c r="I88" s="33" t="s">
        <v>113</v>
      </c>
      <c r="J88" s="33" t="str">
        <f t="shared" si="4"/>
        <v>B3</v>
      </c>
      <c r="K88" s="34" t="str">
        <f t="shared" si="5"/>
        <v>V.GOOD</v>
      </c>
    </row>
    <row r="89" spans="1:11" s="3" customFormat="1" ht="41.25" customHeight="1" x14ac:dyDescent="0.4">
      <c r="A89" s="57" t="s">
        <v>175</v>
      </c>
      <c r="B89" s="33">
        <v>8</v>
      </c>
      <c r="C89" s="33">
        <v>8</v>
      </c>
      <c r="D89" s="33">
        <v>15</v>
      </c>
      <c r="E89" s="33">
        <v>15</v>
      </c>
      <c r="F89" s="33">
        <v>20</v>
      </c>
      <c r="G89" s="33">
        <f t="shared" si="3"/>
        <v>66</v>
      </c>
      <c r="H89" s="39">
        <v>70.8</v>
      </c>
      <c r="I89" s="33" t="s">
        <v>115</v>
      </c>
      <c r="J89" s="33" t="str">
        <f t="shared" si="4"/>
        <v>B3</v>
      </c>
      <c r="K89" s="34" t="str">
        <f t="shared" si="5"/>
        <v>V.GOOD</v>
      </c>
    </row>
    <row r="90" spans="1:11" s="3" customFormat="1" ht="41.25" customHeight="1" x14ac:dyDescent="0.4">
      <c r="A90" s="58"/>
      <c r="B90" s="33"/>
      <c r="C90" s="33"/>
      <c r="D90" s="33"/>
      <c r="E90" s="33"/>
      <c r="F90" s="33"/>
      <c r="G90" s="33"/>
      <c r="H90" s="39"/>
      <c r="I90" s="33"/>
      <c r="J90" s="33"/>
      <c r="K90" s="34"/>
    </row>
    <row r="91" spans="1:11" s="3" customFormat="1" ht="41.25" customHeight="1" x14ac:dyDescent="0.4">
      <c r="A91" s="58"/>
      <c r="B91" s="33"/>
      <c r="C91" s="33"/>
      <c r="D91" s="33"/>
      <c r="E91" s="33"/>
      <c r="F91" s="33"/>
      <c r="G91" s="33"/>
      <c r="H91" s="39"/>
      <c r="I91" s="33"/>
      <c r="J91" s="33"/>
      <c r="K91" s="34"/>
    </row>
    <row r="92" spans="1:11" s="3" customFormat="1" ht="41.25" customHeight="1" x14ac:dyDescent="0.4">
      <c r="A92" s="58"/>
      <c r="B92" s="33"/>
      <c r="C92" s="33"/>
      <c r="D92" s="33"/>
      <c r="E92" s="33"/>
      <c r="F92" s="33"/>
      <c r="G92" s="33"/>
      <c r="H92" s="39"/>
      <c r="I92" s="33"/>
      <c r="J92" s="33"/>
      <c r="K92" s="34"/>
    </row>
    <row r="93" spans="1:11" s="3" customFormat="1" ht="41.25" customHeight="1" x14ac:dyDescent="0.4">
      <c r="A93" s="58"/>
      <c r="B93" s="33"/>
      <c r="C93" s="33"/>
      <c r="D93" s="33"/>
      <c r="E93" s="33"/>
      <c r="F93" s="33"/>
      <c r="G93" s="33"/>
      <c r="H93" s="39"/>
      <c r="I93" s="33"/>
      <c r="J93" s="33"/>
      <c r="K93" s="34"/>
    </row>
    <row r="94" spans="1:11" s="3" customFormat="1" ht="41.25" customHeight="1" x14ac:dyDescent="0.4">
      <c r="A94" s="58"/>
      <c r="B94" s="33"/>
      <c r="C94" s="33"/>
      <c r="D94" s="33"/>
      <c r="E94" s="33"/>
      <c r="F94" s="33"/>
      <c r="G94" s="33"/>
      <c r="H94" s="39"/>
      <c r="I94" s="33"/>
      <c r="J94" s="33"/>
      <c r="K94" s="34"/>
    </row>
    <row r="95" spans="1:11" s="3" customFormat="1" ht="41.25" customHeight="1" x14ac:dyDescent="0.4">
      <c r="A95" s="58"/>
      <c r="B95" s="33"/>
      <c r="C95" s="33"/>
      <c r="D95" s="33"/>
      <c r="E95" s="33"/>
      <c r="F95" s="33"/>
      <c r="G95" s="33"/>
      <c r="H95" s="39"/>
      <c r="I95" s="33"/>
      <c r="J95" s="33"/>
      <c r="K95" s="34"/>
    </row>
    <row r="96" spans="1:11" s="3" customFormat="1" ht="41.25" customHeight="1" x14ac:dyDescent="0.4">
      <c r="A96" s="58"/>
      <c r="B96" s="33"/>
      <c r="C96" s="33"/>
      <c r="D96" s="33"/>
      <c r="E96" s="33"/>
      <c r="F96" s="33"/>
      <c r="G96" s="33"/>
      <c r="H96" s="39"/>
      <c r="I96" s="33"/>
      <c r="J96" s="33"/>
      <c r="K96" s="34"/>
    </row>
    <row r="97" spans="1:11" s="3" customFormat="1" ht="41.25" customHeight="1" x14ac:dyDescent="0.4">
      <c r="A97" s="4"/>
      <c r="B97" s="25"/>
      <c r="C97" s="25"/>
      <c r="D97" s="25"/>
      <c r="E97" s="25"/>
      <c r="F97" s="25"/>
      <c r="G97" s="25"/>
      <c r="H97" s="25"/>
      <c r="I97" s="25"/>
      <c r="J97" s="25"/>
      <c r="K97" s="25"/>
    </row>
    <row r="98" spans="1:11" s="3" customFormat="1" ht="41.25" customHeight="1" x14ac:dyDescent="0.4">
      <c r="A98" s="4"/>
      <c r="B98" s="25"/>
      <c r="C98" s="25"/>
      <c r="D98" s="25"/>
      <c r="E98" s="25"/>
      <c r="F98" s="25"/>
      <c r="G98" s="25"/>
      <c r="H98" s="25"/>
      <c r="I98" s="25"/>
      <c r="J98" s="25"/>
      <c r="K98" s="25"/>
    </row>
    <row r="99" spans="1:11" s="3" customFormat="1" ht="31.5" customHeight="1" x14ac:dyDescent="0.35">
      <c r="A99" s="5"/>
    </row>
    <row r="100" spans="1:11" s="3" customFormat="1" ht="31.5" customHeight="1" x14ac:dyDescent="0.45">
      <c r="A100" s="56" t="s">
        <v>58</v>
      </c>
      <c r="B100" s="36">
        <f>SUM(G80:G96)</f>
        <v>544</v>
      </c>
      <c r="C100" s="22"/>
      <c r="D100" s="22"/>
      <c r="E100" s="37"/>
      <c r="F100" s="83" t="s">
        <v>49</v>
      </c>
      <c r="G100" s="83"/>
      <c r="H100" s="93">
        <f>B100</f>
        <v>544</v>
      </c>
      <c r="I100" s="93"/>
      <c r="J100" s="92" t="s">
        <v>50</v>
      </c>
      <c r="K100" s="82">
        <f>H100/17</f>
        <v>32</v>
      </c>
    </row>
    <row r="101" spans="1:11" s="3" customFormat="1" ht="31.5" customHeight="1" x14ac:dyDescent="0.45">
      <c r="A101" s="37"/>
      <c r="B101" s="22"/>
      <c r="C101" s="22"/>
      <c r="D101" s="22"/>
      <c r="E101" s="37"/>
      <c r="F101" s="37"/>
      <c r="G101" s="37"/>
      <c r="H101" s="83">
        <v>17</v>
      </c>
      <c r="I101" s="83"/>
      <c r="J101" s="92"/>
      <c r="K101" s="82"/>
    </row>
    <row r="102" spans="1:11" s="3" customFormat="1" ht="31.5" customHeight="1" x14ac:dyDescent="0.35">
      <c r="A102" s="5"/>
      <c r="E102" s="5"/>
      <c r="F102" s="5"/>
      <c r="G102" s="5"/>
      <c r="H102" s="8"/>
      <c r="I102" s="8"/>
      <c r="J102" s="12"/>
      <c r="K102" s="13"/>
    </row>
    <row r="103" spans="1:11" s="3" customFormat="1" ht="33.75" customHeight="1" x14ac:dyDescent="0.35">
      <c r="A103" s="5"/>
      <c r="D103" s="84" t="s">
        <v>30</v>
      </c>
      <c r="E103" s="84"/>
      <c r="F103" s="84"/>
      <c r="G103" s="84"/>
      <c r="H103" s="84"/>
    </row>
    <row r="104" spans="1:11" s="3" customFormat="1" ht="33.75" customHeight="1" x14ac:dyDescent="0.35">
      <c r="A104" s="85" t="s">
        <v>31</v>
      </c>
      <c r="B104" s="86"/>
      <c r="C104" s="87"/>
      <c r="D104" s="41" t="s">
        <v>44</v>
      </c>
      <c r="E104" s="41" t="s">
        <v>45</v>
      </c>
      <c r="F104" s="41" t="s">
        <v>46</v>
      </c>
      <c r="G104" s="41" t="s">
        <v>47</v>
      </c>
      <c r="H104" s="41" t="s">
        <v>48</v>
      </c>
      <c r="I104" s="9"/>
      <c r="J104" s="11" t="s">
        <v>51</v>
      </c>
      <c r="K104" s="5"/>
    </row>
    <row r="105" spans="1:11" s="3" customFormat="1" ht="33.75" customHeight="1" x14ac:dyDescent="0.35">
      <c r="A105" s="88" t="s">
        <v>32</v>
      </c>
      <c r="B105" s="88"/>
      <c r="C105" s="88"/>
      <c r="D105" s="45" t="s">
        <v>124</v>
      </c>
      <c r="E105" s="7"/>
      <c r="F105" s="7"/>
      <c r="G105" s="7"/>
      <c r="H105" s="7"/>
      <c r="I105" s="9"/>
      <c r="J105" s="5" t="s">
        <v>52</v>
      </c>
      <c r="K105" s="5"/>
    </row>
    <row r="106" spans="1:11" s="3" customFormat="1" ht="33.75" customHeight="1" x14ac:dyDescent="0.35">
      <c r="A106" s="88" t="s">
        <v>33</v>
      </c>
      <c r="B106" s="88"/>
      <c r="C106" s="88"/>
      <c r="D106" s="45" t="s">
        <v>124</v>
      </c>
      <c r="E106" s="7"/>
      <c r="F106" s="7"/>
      <c r="G106" s="7"/>
      <c r="H106" s="7"/>
      <c r="I106" s="9"/>
      <c r="J106" s="5" t="s">
        <v>53</v>
      </c>
      <c r="K106" s="5"/>
    </row>
    <row r="107" spans="1:11" s="3" customFormat="1" ht="33.75" customHeight="1" x14ac:dyDescent="0.35">
      <c r="A107" s="88" t="s">
        <v>34</v>
      </c>
      <c r="B107" s="88"/>
      <c r="C107" s="88"/>
      <c r="D107" s="7"/>
      <c r="E107" s="45" t="s">
        <v>124</v>
      </c>
      <c r="F107" s="7"/>
      <c r="G107" s="7"/>
      <c r="H107" s="7"/>
      <c r="I107" s="9"/>
      <c r="J107" s="5" t="s">
        <v>54</v>
      </c>
      <c r="K107" s="5"/>
    </row>
    <row r="108" spans="1:11" s="3" customFormat="1" ht="33.75" customHeight="1" x14ac:dyDescent="0.35">
      <c r="A108" s="88" t="s">
        <v>35</v>
      </c>
      <c r="B108" s="88"/>
      <c r="C108" s="88"/>
      <c r="D108" s="7"/>
      <c r="E108" s="45" t="s">
        <v>124</v>
      </c>
      <c r="F108" s="7"/>
      <c r="G108" s="7"/>
      <c r="H108" s="7"/>
      <c r="I108" s="9"/>
      <c r="J108" s="5" t="s">
        <v>55</v>
      </c>
      <c r="K108" s="5"/>
    </row>
    <row r="109" spans="1:11" s="3" customFormat="1" ht="33.75" customHeight="1" x14ac:dyDescent="0.35">
      <c r="A109" s="88" t="s">
        <v>36</v>
      </c>
      <c r="B109" s="88"/>
      <c r="C109" s="88"/>
      <c r="D109" s="45" t="s">
        <v>124</v>
      </c>
      <c r="E109" s="7"/>
      <c r="F109" s="7"/>
      <c r="G109" s="7"/>
      <c r="H109" s="7"/>
      <c r="I109" s="9"/>
      <c r="J109" s="5" t="s">
        <v>56</v>
      </c>
      <c r="K109" s="5"/>
    </row>
    <row r="110" spans="1:11" s="3" customFormat="1" ht="33.75" customHeight="1" x14ac:dyDescent="0.35">
      <c r="A110" s="88" t="s">
        <v>37</v>
      </c>
      <c r="B110" s="88"/>
      <c r="C110" s="88"/>
      <c r="D110" s="45" t="s">
        <v>124</v>
      </c>
      <c r="E110" s="7"/>
      <c r="F110" s="7"/>
      <c r="G110" s="7"/>
      <c r="H110" s="7"/>
      <c r="I110" s="9"/>
      <c r="J110" s="5" t="s">
        <v>57</v>
      </c>
      <c r="K110" s="5"/>
    </row>
    <row r="111" spans="1:11" s="3" customFormat="1" ht="33.75" customHeight="1" x14ac:dyDescent="0.35">
      <c r="A111" s="88" t="s">
        <v>38</v>
      </c>
      <c r="B111" s="88"/>
      <c r="C111" s="88"/>
      <c r="D111" s="45" t="s">
        <v>124</v>
      </c>
      <c r="E111" s="7"/>
      <c r="F111" s="7"/>
      <c r="G111" s="7"/>
      <c r="H111" s="7"/>
      <c r="I111" s="9"/>
    </row>
    <row r="112" spans="1:11" s="3" customFormat="1" ht="33.75" customHeight="1" x14ac:dyDescent="0.35">
      <c r="A112" s="88" t="s">
        <v>39</v>
      </c>
      <c r="B112" s="88"/>
      <c r="C112" s="88"/>
      <c r="D112" s="45" t="s">
        <v>124</v>
      </c>
      <c r="E112" s="7"/>
      <c r="F112" s="7"/>
      <c r="G112" s="7"/>
      <c r="H112" s="7"/>
      <c r="I112" s="9"/>
    </row>
    <row r="113" spans="1:11" s="3" customFormat="1" ht="33.75" customHeight="1" x14ac:dyDescent="0.35">
      <c r="A113" s="88" t="s">
        <v>40</v>
      </c>
      <c r="B113" s="88"/>
      <c r="C113" s="88"/>
      <c r="D113" s="7"/>
      <c r="E113" s="45" t="s">
        <v>124</v>
      </c>
      <c r="F113" s="7"/>
      <c r="G113" s="7"/>
      <c r="H113" s="7"/>
      <c r="I113" s="9"/>
    </row>
    <row r="114" spans="1:11" s="3" customFormat="1" ht="33.75" customHeight="1" x14ac:dyDescent="0.35">
      <c r="A114" s="88" t="s">
        <v>41</v>
      </c>
      <c r="B114" s="88"/>
      <c r="C114" s="88"/>
      <c r="D114" s="45" t="s">
        <v>124</v>
      </c>
      <c r="E114" s="7"/>
      <c r="F114" s="7"/>
      <c r="G114" s="7"/>
      <c r="H114" s="7"/>
      <c r="I114" s="9"/>
    </row>
    <row r="115" spans="1:11" s="3" customFormat="1" ht="33.75" customHeight="1" x14ac:dyDescent="0.35">
      <c r="A115" s="88" t="s">
        <v>42</v>
      </c>
      <c r="B115" s="88"/>
      <c r="C115" s="88"/>
      <c r="D115" s="45" t="s">
        <v>124</v>
      </c>
      <c r="E115" s="7"/>
      <c r="F115" s="7"/>
      <c r="G115" s="7"/>
      <c r="H115" s="7"/>
      <c r="I115" s="9"/>
    </row>
    <row r="116" spans="1:11" s="3" customFormat="1" ht="33.75" customHeight="1" x14ac:dyDescent="0.35">
      <c r="A116" s="88" t="s">
        <v>43</v>
      </c>
      <c r="B116" s="88"/>
      <c r="C116" s="88"/>
      <c r="D116" s="45" t="s">
        <v>124</v>
      </c>
      <c r="E116" s="7"/>
      <c r="F116" s="7"/>
      <c r="G116" s="7"/>
      <c r="H116" s="7"/>
      <c r="I116" s="9"/>
    </row>
    <row r="117" spans="1:11" ht="37.5" customHeight="1" x14ac:dyDescent="0.25"/>
    <row r="118" spans="1:11" s="15" customFormat="1" ht="44.25" customHeight="1" x14ac:dyDescent="0.4">
      <c r="A118" s="17" t="s">
        <v>78</v>
      </c>
      <c r="B118" s="17"/>
      <c r="C118" s="94" t="s">
        <v>125</v>
      </c>
      <c r="D118" s="94"/>
      <c r="E118" s="94"/>
      <c r="F118" s="94"/>
      <c r="G118" s="94"/>
      <c r="H118" s="94"/>
      <c r="I118" s="94"/>
      <c r="J118" s="94"/>
      <c r="K118" s="16"/>
    </row>
    <row r="119" spans="1:11" s="15" customFormat="1" ht="42.75" customHeight="1" x14ac:dyDescent="0.4">
      <c r="A119" s="17" t="s">
        <v>80</v>
      </c>
      <c r="B119" s="17"/>
      <c r="C119" s="95" t="s">
        <v>107</v>
      </c>
      <c r="D119" s="95"/>
      <c r="E119" s="95"/>
      <c r="F119" s="95"/>
      <c r="G119" s="95"/>
      <c r="H119" s="95"/>
      <c r="I119" s="16"/>
      <c r="J119" s="16"/>
      <c r="K119" s="16"/>
    </row>
    <row r="120" spans="1:11" s="15" customFormat="1" ht="31.5" customHeight="1" x14ac:dyDescent="0.4">
      <c r="A120" s="17"/>
      <c r="B120" s="17"/>
      <c r="C120" s="18"/>
      <c r="D120" s="18"/>
      <c r="E120" s="18"/>
      <c r="F120" s="18"/>
      <c r="G120" s="18"/>
      <c r="H120" s="18"/>
      <c r="I120" s="16"/>
      <c r="J120" s="16"/>
      <c r="K120" s="16"/>
    </row>
    <row r="121" spans="1:11" s="15" customFormat="1" ht="31.5" customHeight="1" x14ac:dyDescent="0.4">
      <c r="A121" s="17" t="s">
        <v>81</v>
      </c>
      <c r="B121" s="17"/>
      <c r="C121" s="94" t="s">
        <v>126</v>
      </c>
      <c r="D121" s="94"/>
      <c r="E121" s="94"/>
      <c r="F121" s="94"/>
      <c r="G121" s="94"/>
      <c r="H121" s="94"/>
      <c r="I121" s="94"/>
      <c r="J121" s="94"/>
      <c r="K121" s="16"/>
    </row>
    <row r="122" spans="1:11" s="15" customFormat="1" ht="46.5" customHeight="1" x14ac:dyDescent="0.4">
      <c r="A122" s="17" t="s">
        <v>80</v>
      </c>
      <c r="B122" s="17"/>
      <c r="C122" s="95" t="s">
        <v>107</v>
      </c>
      <c r="D122" s="95"/>
      <c r="E122" s="95"/>
      <c r="F122" s="95"/>
      <c r="G122" s="95"/>
      <c r="H122" s="95"/>
      <c r="I122" s="16"/>
      <c r="J122" s="16"/>
      <c r="K122" s="16"/>
    </row>
    <row r="124" spans="1:11" ht="66" customHeight="1" x14ac:dyDescent="0.25">
      <c r="A124" s="62" t="s">
        <v>0</v>
      </c>
      <c r="B124" s="62"/>
      <c r="C124" s="62"/>
      <c r="D124" s="62"/>
      <c r="E124" s="62"/>
      <c r="F124" s="62"/>
      <c r="G124" s="62"/>
      <c r="H124" s="62"/>
      <c r="I124" s="62"/>
      <c r="J124" s="62"/>
      <c r="K124" s="62"/>
    </row>
    <row r="125" spans="1:11" ht="27.75" customHeight="1" x14ac:dyDescent="0.3">
      <c r="A125" s="63" t="s">
        <v>1</v>
      </c>
      <c r="B125" s="63"/>
      <c r="C125" s="63"/>
      <c r="D125" s="63"/>
      <c r="E125" s="63"/>
      <c r="F125" s="63"/>
      <c r="G125" s="63"/>
      <c r="H125" s="63"/>
      <c r="I125" s="63"/>
      <c r="J125" s="63"/>
      <c r="K125" s="63"/>
    </row>
    <row r="126" spans="1:11" ht="46.5" customHeight="1" x14ac:dyDescent="0.25">
      <c r="A126" s="64" t="s">
        <v>2</v>
      </c>
      <c r="B126" s="64"/>
      <c r="C126" s="64"/>
      <c r="D126" s="64"/>
      <c r="E126" s="64"/>
      <c r="F126" s="64"/>
      <c r="G126" s="64"/>
      <c r="H126" s="64"/>
      <c r="I126" s="64"/>
      <c r="J126" s="64"/>
      <c r="K126" s="64"/>
    </row>
    <row r="127" spans="1:11" ht="39" customHeight="1" x14ac:dyDescent="0.55000000000000004">
      <c r="A127" s="65" t="s">
        <v>144</v>
      </c>
      <c r="B127" s="65"/>
      <c r="C127" s="65"/>
      <c r="D127" s="65"/>
      <c r="E127" s="65"/>
      <c r="F127" s="65"/>
      <c r="G127" s="65"/>
      <c r="H127" s="65"/>
      <c r="I127" s="65"/>
      <c r="J127" s="65"/>
      <c r="K127" s="65"/>
    </row>
    <row r="128" spans="1:11" ht="31.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s="20" customFormat="1" ht="31.5" customHeight="1" x14ac:dyDescent="0.4">
      <c r="A129" s="19" t="s">
        <v>60</v>
      </c>
      <c r="B129" s="59" t="s">
        <v>169</v>
      </c>
      <c r="C129" s="59"/>
      <c r="D129" s="59"/>
      <c r="E129" s="59"/>
      <c r="F129" s="59"/>
      <c r="G129" s="19" t="s">
        <v>59</v>
      </c>
      <c r="H129" s="47" t="s">
        <v>160</v>
      </c>
      <c r="I129" s="19" t="s">
        <v>75</v>
      </c>
      <c r="J129" s="59" t="str">
        <f>J7</f>
        <v>SS 1</v>
      </c>
      <c r="K129" s="59"/>
    </row>
    <row r="130" spans="1:11" s="20" customFormat="1" ht="31.5" customHeight="1" x14ac:dyDescent="0.4">
      <c r="A130" s="19" t="s">
        <v>61</v>
      </c>
      <c r="B130" s="59" t="s">
        <v>84</v>
      </c>
      <c r="C130" s="59"/>
      <c r="D130" s="19" t="s">
        <v>68</v>
      </c>
      <c r="E130" s="59" t="s">
        <v>170</v>
      </c>
      <c r="F130" s="59"/>
      <c r="G130" s="59"/>
      <c r="H130" s="59"/>
      <c r="I130" s="19" t="s">
        <v>69</v>
      </c>
      <c r="J130" s="59" t="s">
        <v>90</v>
      </c>
      <c r="K130" s="59"/>
    </row>
    <row r="131" spans="1:11" s="20" customFormat="1" ht="35.25" customHeight="1" x14ac:dyDescent="0.4">
      <c r="A131" s="19" t="s">
        <v>63</v>
      </c>
      <c r="B131" s="47" t="str">
        <f>B9</f>
        <v>First Term 24/25 Session</v>
      </c>
      <c r="C131" s="47"/>
      <c r="D131" s="47"/>
      <c r="E131" s="55"/>
      <c r="F131" s="19" t="s">
        <v>62</v>
      </c>
      <c r="H131" s="47">
        <f>H9</f>
        <v>17</v>
      </c>
      <c r="I131" s="19" t="s">
        <v>70</v>
      </c>
      <c r="J131" s="59"/>
      <c r="K131" s="59"/>
    </row>
    <row r="132" spans="1:11" s="20" customFormat="1" ht="39" customHeight="1" x14ac:dyDescent="0.4">
      <c r="A132" s="19" t="s">
        <v>71</v>
      </c>
      <c r="B132" s="21" t="str">
        <f>B10</f>
        <v>25th March, 2025</v>
      </c>
      <c r="C132" s="21"/>
      <c r="D132" s="21"/>
      <c r="E132" s="21"/>
      <c r="F132" s="19" t="s">
        <v>73</v>
      </c>
      <c r="G132" s="19"/>
      <c r="H132" s="24" t="str">
        <f>H10</f>
        <v>28th April, 2025</v>
      </c>
      <c r="I132" s="21"/>
      <c r="J132" s="21"/>
      <c r="K132" s="21"/>
    </row>
    <row r="133" spans="1:11" s="20" customFormat="1" ht="39.75" customHeight="1" x14ac:dyDescent="0.4">
      <c r="A133" s="19" t="s">
        <v>72</v>
      </c>
      <c r="B133" s="21"/>
      <c r="C133" s="60"/>
      <c r="D133" s="60"/>
      <c r="E133" s="60"/>
      <c r="F133" s="19" t="s">
        <v>74</v>
      </c>
      <c r="G133" s="19"/>
      <c r="H133" s="61"/>
      <c r="I133" s="61"/>
      <c r="J133" s="61"/>
      <c r="K133" s="61"/>
    </row>
    <row r="134" spans="1:11" s="20" customFormat="1" ht="21" customHeight="1" x14ac:dyDescent="0.4">
      <c r="A134" s="19"/>
      <c r="B134" s="21"/>
      <c r="C134" s="51"/>
      <c r="D134" s="51"/>
      <c r="E134" s="51"/>
      <c r="F134" s="19"/>
      <c r="G134" s="19"/>
      <c r="H134" s="52"/>
      <c r="I134" s="52"/>
      <c r="J134" s="52"/>
      <c r="K134" s="52"/>
    </row>
    <row r="135" spans="1:11" s="20" customFormat="1" ht="34.5" x14ac:dyDescent="0.45">
      <c r="A135" s="19"/>
      <c r="B135" s="67" t="s">
        <v>164</v>
      </c>
      <c r="C135" s="67"/>
      <c r="D135" s="67"/>
      <c r="E135" s="67"/>
      <c r="F135" s="67"/>
      <c r="G135" s="67"/>
      <c r="H135" s="67"/>
      <c r="I135" s="67"/>
      <c r="J135" s="67"/>
      <c r="K135" s="67"/>
    </row>
    <row r="136" spans="1:11" s="14" customFormat="1" ht="36.75" customHeight="1" x14ac:dyDescent="0.45">
      <c r="A136" s="15"/>
      <c r="B136" s="67" t="s">
        <v>5</v>
      </c>
      <c r="C136" s="67"/>
      <c r="D136" s="67"/>
      <c r="E136" s="67"/>
      <c r="F136" s="67"/>
      <c r="G136" s="67"/>
      <c r="H136" s="67"/>
      <c r="I136" s="67"/>
      <c r="J136" s="67"/>
      <c r="K136" s="67"/>
    </row>
    <row r="137" spans="1:11" s="14" customFormat="1" ht="31.5" customHeight="1" x14ac:dyDescent="0.4">
      <c r="B137" s="68" t="s">
        <v>22</v>
      </c>
      <c r="C137" s="69"/>
      <c r="D137" s="69"/>
      <c r="E137" s="69"/>
      <c r="F137" s="49" t="s">
        <v>24</v>
      </c>
      <c r="G137" s="70" t="s">
        <v>25</v>
      </c>
      <c r="H137" s="72" t="s">
        <v>27</v>
      </c>
      <c r="I137" s="75" t="s">
        <v>66</v>
      </c>
      <c r="J137" s="76"/>
      <c r="K137" s="76" t="s">
        <v>29</v>
      </c>
    </row>
    <row r="138" spans="1:11" s="14" customFormat="1" ht="31.5" customHeight="1" x14ac:dyDescent="0.4">
      <c r="B138" s="68" t="s">
        <v>76</v>
      </c>
      <c r="C138" s="79"/>
      <c r="D138" s="26" t="s">
        <v>77</v>
      </c>
      <c r="E138" s="27" t="s">
        <v>77</v>
      </c>
      <c r="F138" s="28" t="s">
        <v>23</v>
      </c>
      <c r="G138" s="71"/>
      <c r="H138" s="73"/>
      <c r="I138" s="75"/>
      <c r="J138" s="77"/>
      <c r="K138" s="77"/>
    </row>
    <row r="139" spans="1:11" s="14" customFormat="1" ht="31.5" customHeight="1" x14ac:dyDescent="0.4">
      <c r="B139" s="80">
        <v>0.05</v>
      </c>
      <c r="C139" s="80">
        <v>0.05</v>
      </c>
      <c r="D139" s="80">
        <v>0.1</v>
      </c>
      <c r="E139" s="80">
        <v>0.1</v>
      </c>
      <c r="F139" s="90">
        <v>0.7</v>
      </c>
      <c r="G139" s="53" t="s">
        <v>26</v>
      </c>
      <c r="H139" s="74"/>
      <c r="I139" s="70"/>
      <c r="J139" s="77"/>
      <c r="K139" s="77"/>
    </row>
    <row r="140" spans="1:11" s="14" customFormat="1" ht="31.5" customHeight="1" x14ac:dyDescent="0.4">
      <c r="A140" s="23" t="s">
        <v>4</v>
      </c>
      <c r="B140" s="81"/>
      <c r="C140" s="81"/>
      <c r="D140" s="81"/>
      <c r="E140" s="81"/>
      <c r="F140" s="91"/>
      <c r="G140" s="29">
        <v>1</v>
      </c>
      <c r="H140" s="28" t="s">
        <v>28</v>
      </c>
      <c r="I140" s="43" t="s">
        <v>65</v>
      </c>
      <c r="J140" s="48" t="s">
        <v>67</v>
      </c>
      <c r="K140" s="78"/>
    </row>
    <row r="141" spans="1:11" s="3" customFormat="1" ht="41.25" customHeight="1" x14ac:dyDescent="0.4">
      <c r="A141" s="57" t="s">
        <v>6</v>
      </c>
      <c r="B141" s="33">
        <v>8</v>
      </c>
      <c r="C141" s="33">
        <v>8</v>
      </c>
      <c r="D141" s="33">
        <v>8</v>
      </c>
      <c r="E141" s="33">
        <v>8</v>
      </c>
      <c r="F141" s="33">
        <v>17</v>
      </c>
      <c r="G141" s="31">
        <f t="shared" ref="G141:G150" si="6">SUM(B141:F141)</f>
        <v>49</v>
      </c>
      <c r="H141" s="38">
        <v>59</v>
      </c>
      <c r="I141" s="31" t="s">
        <v>115</v>
      </c>
      <c r="J141" s="33" t="str">
        <f>IF(G141&gt;=70,"A",IF(G141&gt;=60,"B",IF(G141&gt;=50,"C",IF(G141&gt;=45,"D",IF(G141&gt;=40,"E",IF(G141&lt;=39,"F"))))))</f>
        <v>D</v>
      </c>
      <c r="K141" s="34" t="str">
        <f>IF(G141&gt;=70,"EXCELLENT",IF(G141&gt;=60,"V.GOOD",IF(G141&gt;=50,"GOOD",IF(G141&gt;=45,"PASS",IF(G141&gt;=40,"FAIR",IF(G141&lt;=39,"FAIL"))))))</f>
        <v>PASS</v>
      </c>
    </row>
    <row r="142" spans="1:11" s="3" customFormat="1" ht="41.25" customHeight="1" x14ac:dyDescent="0.4">
      <c r="A142" s="57" t="s">
        <v>7</v>
      </c>
      <c r="B142" s="33">
        <v>7</v>
      </c>
      <c r="C142" s="33">
        <v>6</v>
      </c>
      <c r="D142" s="33">
        <v>8</v>
      </c>
      <c r="E142" s="33">
        <v>8</v>
      </c>
      <c r="F142" s="33">
        <v>16</v>
      </c>
      <c r="G142" s="33">
        <f t="shared" si="6"/>
        <v>45</v>
      </c>
      <c r="H142" s="39">
        <v>60.8</v>
      </c>
      <c r="I142" s="33" t="s">
        <v>113</v>
      </c>
      <c r="J142" s="33" t="str">
        <f t="shared" ref="J142:J150" si="7">IF(G142&gt;=70,"A",IF(G142&gt;=60,"B",IF(G142&gt;=50,"C",IF(G142&gt;=45,"D",IF(G142&gt;=40,"E",IF(G142&lt;=39,"F"))))))</f>
        <v>D</v>
      </c>
      <c r="K142" s="34" t="str">
        <f t="shared" ref="K142:K150" si="8">IF(G142&gt;=70,"EXCELLENT",IF(G142&gt;=60,"V.GOOD",IF(G142&gt;=50,"GOOD",IF(G142&gt;=45,"PASS",IF(G142&gt;=40,"FAIR",IF(G142&lt;=39,"FAIL"))))))</f>
        <v>PASS</v>
      </c>
    </row>
    <row r="143" spans="1:11" s="3" customFormat="1" ht="41.25" customHeight="1" x14ac:dyDescent="0.4">
      <c r="A143" s="57" t="s">
        <v>173</v>
      </c>
      <c r="B143" s="33">
        <v>6</v>
      </c>
      <c r="C143" s="33">
        <v>4</v>
      </c>
      <c r="D143" s="33">
        <v>12</v>
      </c>
      <c r="E143" s="33">
        <v>12</v>
      </c>
      <c r="F143" s="33">
        <v>23</v>
      </c>
      <c r="G143" s="33">
        <f t="shared" si="6"/>
        <v>57</v>
      </c>
      <c r="H143" s="39">
        <v>57.6</v>
      </c>
      <c r="I143" s="33" t="s">
        <v>115</v>
      </c>
      <c r="J143" s="33" t="str">
        <f t="shared" si="7"/>
        <v>C</v>
      </c>
      <c r="K143" s="34" t="str">
        <f t="shared" si="8"/>
        <v>GOOD</v>
      </c>
    </row>
    <row r="144" spans="1:11" s="3" customFormat="1" ht="41.25" customHeight="1" x14ac:dyDescent="0.4">
      <c r="A144" s="57" t="s">
        <v>13</v>
      </c>
      <c r="B144" s="33">
        <v>10</v>
      </c>
      <c r="C144" s="33">
        <v>10</v>
      </c>
      <c r="D144" s="33">
        <v>8</v>
      </c>
      <c r="E144" s="33">
        <v>7</v>
      </c>
      <c r="F144" s="33">
        <v>20</v>
      </c>
      <c r="G144" s="33">
        <f t="shared" si="6"/>
        <v>55</v>
      </c>
      <c r="H144" s="39">
        <v>61</v>
      </c>
      <c r="I144" s="33" t="s">
        <v>115</v>
      </c>
      <c r="J144" s="33" t="str">
        <f t="shared" si="7"/>
        <v>C</v>
      </c>
      <c r="K144" s="34" t="str">
        <f t="shared" si="8"/>
        <v>GOOD</v>
      </c>
    </row>
    <row r="145" spans="1:11" s="3" customFormat="1" ht="41.25" customHeight="1" x14ac:dyDescent="0.4">
      <c r="A145" s="57" t="s">
        <v>155</v>
      </c>
      <c r="B145" s="33">
        <v>3</v>
      </c>
      <c r="C145" s="33">
        <v>2</v>
      </c>
      <c r="D145" s="33">
        <v>9</v>
      </c>
      <c r="E145" s="33">
        <v>9</v>
      </c>
      <c r="F145" s="33">
        <v>21</v>
      </c>
      <c r="G145" s="33">
        <f t="shared" si="6"/>
        <v>44</v>
      </c>
      <c r="H145" s="39">
        <v>54.8</v>
      </c>
      <c r="I145" s="33" t="s">
        <v>115</v>
      </c>
      <c r="J145" s="33" t="str">
        <f t="shared" si="7"/>
        <v>E</v>
      </c>
      <c r="K145" s="34" t="str">
        <f t="shared" si="8"/>
        <v>FAIR</v>
      </c>
    </row>
    <row r="146" spans="1:11" s="3" customFormat="1" ht="41.25" customHeight="1" x14ac:dyDescent="0.4">
      <c r="A146" s="57" t="s">
        <v>156</v>
      </c>
      <c r="B146" s="33">
        <v>5</v>
      </c>
      <c r="C146" s="33">
        <v>9</v>
      </c>
      <c r="D146" s="33">
        <v>5</v>
      </c>
      <c r="E146" s="33">
        <v>12</v>
      </c>
      <c r="F146" s="33">
        <v>21</v>
      </c>
      <c r="G146" s="33">
        <f t="shared" si="6"/>
        <v>52</v>
      </c>
      <c r="H146" s="39">
        <v>62.5</v>
      </c>
      <c r="I146" s="33" t="s">
        <v>116</v>
      </c>
      <c r="J146" s="33" t="str">
        <f t="shared" si="7"/>
        <v>C</v>
      </c>
      <c r="K146" s="34" t="str">
        <f t="shared" si="8"/>
        <v>GOOD</v>
      </c>
    </row>
    <row r="147" spans="1:11" s="3" customFormat="1" ht="41.25" customHeight="1" x14ac:dyDescent="0.4">
      <c r="A147" s="57" t="s">
        <v>157</v>
      </c>
      <c r="B147" s="33">
        <v>10</v>
      </c>
      <c r="C147" s="33">
        <v>9</v>
      </c>
      <c r="D147" s="33">
        <v>6</v>
      </c>
      <c r="E147" s="33">
        <v>8</v>
      </c>
      <c r="F147" s="33">
        <v>15</v>
      </c>
      <c r="G147" s="33">
        <f t="shared" si="6"/>
        <v>48</v>
      </c>
      <c r="H147" s="39">
        <v>61.8</v>
      </c>
      <c r="I147" s="33" t="s">
        <v>113</v>
      </c>
      <c r="J147" s="33" t="str">
        <f t="shared" si="7"/>
        <v>D</v>
      </c>
      <c r="K147" s="34" t="str">
        <f t="shared" si="8"/>
        <v>PASS</v>
      </c>
    </row>
    <row r="148" spans="1:11" s="3" customFormat="1" ht="41.25" customHeight="1" x14ac:dyDescent="0.4">
      <c r="A148" s="57" t="s">
        <v>174</v>
      </c>
      <c r="B148" s="33">
        <v>5</v>
      </c>
      <c r="C148" s="33">
        <v>2</v>
      </c>
      <c r="D148" s="33">
        <v>10</v>
      </c>
      <c r="E148" s="33">
        <v>10</v>
      </c>
      <c r="F148" s="33">
        <v>18</v>
      </c>
      <c r="G148" s="33">
        <f t="shared" si="6"/>
        <v>45</v>
      </c>
      <c r="H148" s="39">
        <v>68.2</v>
      </c>
      <c r="I148" s="33" t="s">
        <v>113</v>
      </c>
      <c r="J148" s="33" t="str">
        <f t="shared" si="7"/>
        <v>D</v>
      </c>
      <c r="K148" s="34" t="str">
        <f t="shared" si="8"/>
        <v>PASS</v>
      </c>
    </row>
    <row r="149" spans="1:11" s="3" customFormat="1" ht="41.25" customHeight="1" x14ac:dyDescent="0.4">
      <c r="A149" s="57" t="s">
        <v>158</v>
      </c>
      <c r="B149" s="33">
        <v>8</v>
      </c>
      <c r="C149" s="33">
        <v>9</v>
      </c>
      <c r="D149" s="33">
        <v>20</v>
      </c>
      <c r="E149" s="33">
        <v>17</v>
      </c>
      <c r="F149" s="33">
        <v>31</v>
      </c>
      <c r="G149" s="33">
        <f t="shared" si="6"/>
        <v>85</v>
      </c>
      <c r="H149" s="39">
        <v>82.4</v>
      </c>
      <c r="I149" s="33" t="s">
        <v>116</v>
      </c>
      <c r="J149" s="33" t="str">
        <f t="shared" si="7"/>
        <v>A</v>
      </c>
      <c r="K149" s="34" t="str">
        <f t="shared" si="8"/>
        <v>EXCELLENT</v>
      </c>
    </row>
    <row r="150" spans="1:11" s="3" customFormat="1" ht="41.25" customHeight="1" x14ac:dyDescent="0.4">
      <c r="A150" s="57" t="s">
        <v>175</v>
      </c>
      <c r="B150" s="33">
        <v>8</v>
      </c>
      <c r="C150" s="33">
        <v>8</v>
      </c>
      <c r="D150" s="33">
        <v>15</v>
      </c>
      <c r="E150" s="33">
        <v>15</v>
      </c>
      <c r="F150" s="33">
        <v>19</v>
      </c>
      <c r="G150" s="33">
        <f t="shared" si="6"/>
        <v>65</v>
      </c>
      <c r="H150" s="39">
        <v>70.8</v>
      </c>
      <c r="I150" s="33" t="s">
        <v>113</v>
      </c>
      <c r="J150" s="33" t="str">
        <f t="shared" si="7"/>
        <v>B</v>
      </c>
      <c r="K150" s="34" t="str">
        <f t="shared" si="8"/>
        <v>V.GOOD</v>
      </c>
    </row>
    <row r="151" spans="1:11" s="3" customFormat="1" ht="41.25" customHeight="1" x14ac:dyDescent="0.4">
      <c r="A151" s="58"/>
      <c r="B151" s="33"/>
      <c r="C151" s="33"/>
      <c r="D151" s="33"/>
      <c r="E151" s="33"/>
      <c r="F151" s="33"/>
      <c r="G151" s="33"/>
      <c r="H151" s="39"/>
      <c r="I151" s="33"/>
      <c r="J151" s="33"/>
      <c r="K151" s="34"/>
    </row>
    <row r="152" spans="1:11" s="3" customFormat="1" ht="41.25" customHeight="1" x14ac:dyDescent="0.4">
      <c r="A152" s="58"/>
      <c r="B152" s="33"/>
      <c r="C152" s="33"/>
      <c r="D152" s="33"/>
      <c r="E152" s="33"/>
      <c r="F152" s="33"/>
      <c r="G152" s="33"/>
      <c r="H152" s="39"/>
      <c r="I152" s="33"/>
      <c r="J152" s="33"/>
      <c r="K152" s="34"/>
    </row>
    <row r="153" spans="1:11" s="3" customFormat="1" ht="41.25" customHeight="1" x14ac:dyDescent="0.4">
      <c r="A153" s="58"/>
      <c r="B153" s="33"/>
      <c r="C153" s="33"/>
      <c r="D153" s="33"/>
      <c r="E153" s="33"/>
      <c r="F153" s="33"/>
      <c r="G153" s="33"/>
      <c r="H153" s="39"/>
      <c r="I153" s="33"/>
      <c r="J153" s="33"/>
      <c r="K153" s="34"/>
    </row>
    <row r="154" spans="1:11" s="3" customFormat="1" ht="41.25" customHeight="1" x14ac:dyDescent="0.4">
      <c r="A154" s="58"/>
      <c r="B154" s="33"/>
      <c r="C154" s="33"/>
      <c r="D154" s="33"/>
      <c r="E154" s="33"/>
      <c r="F154" s="33"/>
      <c r="G154" s="33"/>
      <c r="H154" s="39"/>
      <c r="I154" s="33"/>
      <c r="J154" s="33"/>
      <c r="K154" s="34"/>
    </row>
    <row r="155" spans="1:11" s="3" customFormat="1" ht="41.25" customHeight="1" x14ac:dyDescent="0.4">
      <c r="A155" s="58"/>
      <c r="B155" s="33"/>
      <c r="C155" s="33"/>
      <c r="D155" s="33"/>
      <c r="E155" s="33"/>
      <c r="F155" s="33"/>
      <c r="G155" s="33"/>
      <c r="H155" s="39"/>
      <c r="I155" s="33"/>
      <c r="J155" s="33"/>
      <c r="K155" s="34"/>
    </row>
    <row r="156" spans="1:11" s="3" customFormat="1" ht="41.25" customHeight="1" x14ac:dyDescent="0.4">
      <c r="A156" s="58"/>
      <c r="B156" s="33"/>
      <c r="C156" s="33"/>
      <c r="D156" s="33"/>
      <c r="E156" s="33"/>
      <c r="F156" s="33"/>
      <c r="G156" s="33"/>
      <c r="H156" s="39"/>
      <c r="I156" s="33"/>
      <c r="J156" s="33"/>
      <c r="K156" s="34"/>
    </row>
    <row r="157" spans="1:11" s="3" customFormat="1" ht="41.25" customHeight="1" x14ac:dyDescent="0.4">
      <c r="A157" s="58"/>
      <c r="B157" s="33"/>
      <c r="C157" s="33"/>
      <c r="D157" s="33"/>
      <c r="E157" s="33"/>
      <c r="F157" s="33"/>
      <c r="G157" s="33"/>
      <c r="H157" s="39"/>
      <c r="I157" s="33"/>
      <c r="J157" s="33"/>
      <c r="K157" s="34"/>
    </row>
    <row r="158" spans="1:11" s="3" customFormat="1" ht="41.25" customHeight="1" x14ac:dyDescent="0.4">
      <c r="A158" s="4"/>
      <c r="B158" s="25"/>
      <c r="C158" s="25"/>
      <c r="D158" s="25"/>
      <c r="E158" s="25"/>
      <c r="F158" s="25"/>
      <c r="G158" s="25"/>
      <c r="H158" s="25"/>
      <c r="I158" s="25"/>
      <c r="J158" s="25"/>
      <c r="K158" s="25"/>
    </row>
    <row r="159" spans="1:11" s="3" customFormat="1" ht="41.25" customHeight="1" x14ac:dyDescent="0.4">
      <c r="A159" s="4"/>
      <c r="B159" s="25"/>
      <c r="C159" s="25"/>
      <c r="D159" s="25"/>
      <c r="E159" s="25"/>
      <c r="F159" s="25"/>
      <c r="G159" s="25"/>
      <c r="H159" s="25"/>
      <c r="I159" s="25"/>
      <c r="J159" s="25"/>
      <c r="K159" s="25"/>
    </row>
    <row r="160" spans="1:11" s="3" customFormat="1" ht="31.5" customHeight="1" x14ac:dyDescent="0.35">
      <c r="A160" s="5"/>
    </row>
    <row r="161" spans="1:11" s="3" customFormat="1" ht="31.5" customHeight="1" x14ac:dyDescent="0.45">
      <c r="A161" s="56" t="s">
        <v>58</v>
      </c>
      <c r="B161" s="36">
        <f>SUM(G141:G157)</f>
        <v>545</v>
      </c>
      <c r="C161" s="22"/>
      <c r="D161" s="22"/>
      <c r="E161" s="37"/>
      <c r="F161" s="83" t="s">
        <v>49</v>
      </c>
      <c r="G161" s="83"/>
      <c r="H161" s="93">
        <f>B161</f>
        <v>545</v>
      </c>
      <c r="I161" s="93"/>
      <c r="J161" s="92" t="s">
        <v>50</v>
      </c>
      <c r="K161" s="82">
        <f>H161/17</f>
        <v>32.058823529411768</v>
      </c>
    </row>
    <row r="162" spans="1:11" s="3" customFormat="1" ht="31.5" customHeight="1" x14ac:dyDescent="0.45">
      <c r="A162" s="37"/>
      <c r="B162" s="22"/>
      <c r="C162" s="22"/>
      <c r="D162" s="22"/>
      <c r="E162" s="37"/>
      <c r="F162" s="37"/>
      <c r="G162" s="37"/>
      <c r="H162" s="83">
        <v>17</v>
      </c>
      <c r="I162" s="83"/>
      <c r="J162" s="92"/>
      <c r="K162" s="82"/>
    </row>
    <row r="163" spans="1:11" s="3" customFormat="1" ht="31.5" customHeight="1" x14ac:dyDescent="0.35">
      <c r="A163" s="5"/>
      <c r="E163" s="5"/>
      <c r="F163" s="5"/>
      <c r="G163" s="5"/>
      <c r="H163" s="8"/>
      <c r="I163" s="8"/>
      <c r="J163" s="12"/>
      <c r="K163" s="13"/>
    </row>
    <row r="164" spans="1:11" s="3" customFormat="1" ht="33.75" customHeight="1" x14ac:dyDescent="0.35">
      <c r="A164" s="5"/>
      <c r="D164" s="84" t="s">
        <v>30</v>
      </c>
      <c r="E164" s="84"/>
      <c r="F164" s="84"/>
      <c r="G164" s="84"/>
      <c r="H164" s="84"/>
    </row>
    <row r="165" spans="1:11" s="3" customFormat="1" ht="33.75" customHeight="1" x14ac:dyDescent="0.35">
      <c r="A165" s="85" t="s">
        <v>31</v>
      </c>
      <c r="B165" s="86"/>
      <c r="C165" s="87"/>
      <c r="D165" s="41" t="s">
        <v>44</v>
      </c>
      <c r="E165" s="41" t="s">
        <v>45</v>
      </c>
      <c r="F165" s="41" t="s">
        <v>46</v>
      </c>
      <c r="G165" s="41" t="s">
        <v>47</v>
      </c>
      <c r="H165" s="41" t="s">
        <v>48</v>
      </c>
      <c r="I165" s="9"/>
      <c r="J165" s="11" t="s">
        <v>51</v>
      </c>
      <c r="K165" s="5"/>
    </row>
    <row r="166" spans="1:11" s="3" customFormat="1" ht="33.75" customHeight="1" x14ac:dyDescent="0.35">
      <c r="A166" s="88" t="s">
        <v>32</v>
      </c>
      <c r="B166" s="88"/>
      <c r="C166" s="88"/>
      <c r="D166" s="45" t="s">
        <v>124</v>
      </c>
      <c r="E166" s="10"/>
      <c r="F166" s="7"/>
      <c r="G166" s="7"/>
      <c r="H166" s="7"/>
      <c r="I166" s="9"/>
      <c r="J166" s="5" t="s">
        <v>52</v>
      </c>
      <c r="K166" s="5"/>
    </row>
    <row r="167" spans="1:11" s="3" customFormat="1" ht="33.75" customHeight="1" x14ac:dyDescent="0.35">
      <c r="A167" s="88" t="s">
        <v>33</v>
      </c>
      <c r="B167" s="88"/>
      <c r="C167" s="88"/>
      <c r="D167" s="7"/>
      <c r="E167" s="45" t="s">
        <v>124</v>
      </c>
      <c r="F167" s="7"/>
      <c r="G167" s="7"/>
      <c r="H167" s="7"/>
      <c r="I167" s="9"/>
      <c r="J167" s="5" t="s">
        <v>53</v>
      </c>
      <c r="K167" s="5"/>
    </row>
    <row r="168" spans="1:11" s="3" customFormat="1" ht="33.75" customHeight="1" x14ac:dyDescent="0.35">
      <c r="A168" s="88" t="s">
        <v>34</v>
      </c>
      <c r="B168" s="88"/>
      <c r="C168" s="88"/>
      <c r="D168" s="7"/>
      <c r="E168" s="7"/>
      <c r="F168" s="45" t="s">
        <v>124</v>
      </c>
      <c r="G168" s="7"/>
      <c r="H168" s="7"/>
      <c r="I168" s="9"/>
      <c r="J168" s="5" t="s">
        <v>54</v>
      </c>
      <c r="K168" s="5"/>
    </row>
    <row r="169" spans="1:11" s="3" customFormat="1" ht="33.75" customHeight="1" x14ac:dyDescent="0.35">
      <c r="A169" s="88" t="s">
        <v>35</v>
      </c>
      <c r="B169" s="88"/>
      <c r="C169" s="88"/>
      <c r="D169" s="7"/>
      <c r="E169" s="7"/>
      <c r="F169" s="45" t="s">
        <v>124</v>
      </c>
      <c r="G169" s="7"/>
      <c r="H169" s="7"/>
      <c r="I169" s="9"/>
      <c r="J169" s="5" t="s">
        <v>55</v>
      </c>
      <c r="K169" s="5"/>
    </row>
    <row r="170" spans="1:11" s="3" customFormat="1" ht="33.75" customHeight="1" x14ac:dyDescent="0.35">
      <c r="A170" s="88" t="s">
        <v>36</v>
      </c>
      <c r="B170" s="88"/>
      <c r="C170" s="88"/>
      <c r="D170" s="7"/>
      <c r="E170" s="45" t="s">
        <v>124</v>
      </c>
      <c r="F170" s="7"/>
      <c r="G170" s="7"/>
      <c r="H170" s="7"/>
      <c r="I170" s="9"/>
      <c r="J170" s="5" t="s">
        <v>56</v>
      </c>
      <c r="K170" s="5"/>
    </row>
    <row r="171" spans="1:11" s="3" customFormat="1" ht="33.75" customHeight="1" x14ac:dyDescent="0.35">
      <c r="A171" s="88" t="s">
        <v>37</v>
      </c>
      <c r="B171" s="88"/>
      <c r="C171" s="88"/>
      <c r="D171" s="7"/>
      <c r="E171" s="45" t="s">
        <v>124</v>
      </c>
      <c r="F171" s="7"/>
      <c r="G171" s="7"/>
      <c r="H171" s="7"/>
      <c r="I171" s="9"/>
      <c r="J171" s="5" t="s">
        <v>57</v>
      </c>
      <c r="K171" s="5"/>
    </row>
    <row r="172" spans="1:11" s="3" customFormat="1" ht="33.75" customHeight="1" x14ac:dyDescent="0.35">
      <c r="A172" s="88" t="s">
        <v>38</v>
      </c>
      <c r="B172" s="88"/>
      <c r="C172" s="88"/>
      <c r="D172" s="7"/>
      <c r="E172" s="45" t="s">
        <v>124</v>
      </c>
      <c r="F172" s="7"/>
      <c r="G172" s="7"/>
      <c r="H172" s="7"/>
      <c r="I172" s="9"/>
    </row>
    <row r="173" spans="1:11" s="3" customFormat="1" ht="33.75" customHeight="1" x14ac:dyDescent="0.35">
      <c r="A173" s="88" t="s">
        <v>39</v>
      </c>
      <c r="B173" s="88"/>
      <c r="C173" s="88"/>
      <c r="D173" s="45" t="s">
        <v>124</v>
      </c>
      <c r="E173" s="7"/>
      <c r="F173" s="7"/>
      <c r="G173" s="7"/>
      <c r="H173" s="7"/>
      <c r="I173" s="9"/>
    </row>
    <row r="174" spans="1:11" s="3" customFormat="1" ht="33.75" customHeight="1" x14ac:dyDescent="0.35">
      <c r="A174" s="88" t="s">
        <v>40</v>
      </c>
      <c r="B174" s="88"/>
      <c r="C174" s="88"/>
      <c r="D174" s="45" t="s">
        <v>124</v>
      </c>
      <c r="E174" s="7"/>
      <c r="F174" s="7"/>
      <c r="G174" s="7"/>
      <c r="H174" s="7"/>
      <c r="I174" s="9"/>
    </row>
    <row r="175" spans="1:11" s="3" customFormat="1" ht="33.75" customHeight="1" x14ac:dyDescent="0.35">
      <c r="A175" s="88" t="s">
        <v>41</v>
      </c>
      <c r="B175" s="88"/>
      <c r="C175" s="88"/>
      <c r="D175" s="45" t="s">
        <v>124</v>
      </c>
      <c r="E175" s="7"/>
      <c r="F175" s="7"/>
      <c r="G175" s="7"/>
      <c r="H175" s="7"/>
      <c r="I175" s="9"/>
    </row>
    <row r="176" spans="1:11" s="3" customFormat="1" ht="33.75" customHeight="1" x14ac:dyDescent="0.35">
      <c r="A176" s="88" t="s">
        <v>42</v>
      </c>
      <c r="B176" s="88"/>
      <c r="C176" s="88"/>
      <c r="D176" s="45" t="s">
        <v>124</v>
      </c>
      <c r="E176" s="7"/>
      <c r="F176" s="7"/>
      <c r="G176" s="7"/>
      <c r="H176" s="7"/>
      <c r="I176" s="9"/>
    </row>
    <row r="177" spans="1:11" s="3" customFormat="1" ht="33.75" customHeight="1" x14ac:dyDescent="0.35">
      <c r="A177" s="88" t="s">
        <v>43</v>
      </c>
      <c r="B177" s="88"/>
      <c r="C177" s="88"/>
      <c r="D177" s="45"/>
      <c r="E177" s="45" t="s">
        <v>124</v>
      </c>
      <c r="F177" s="7"/>
      <c r="G177" s="7"/>
      <c r="H177" s="7"/>
      <c r="I177" s="9"/>
    </row>
    <row r="178" spans="1:11" ht="54.75" customHeight="1" x14ac:dyDescent="0.25"/>
    <row r="179" spans="1:11" s="15" customFormat="1" ht="36.75" customHeight="1" x14ac:dyDescent="0.4">
      <c r="A179" s="17" t="s">
        <v>78</v>
      </c>
      <c r="B179" s="17"/>
      <c r="C179" s="94" t="s">
        <v>125</v>
      </c>
      <c r="D179" s="94"/>
      <c r="E179" s="94"/>
      <c r="F179" s="94"/>
      <c r="G179" s="94"/>
      <c r="H179" s="94"/>
      <c r="I179" s="94"/>
      <c r="J179" s="94"/>
      <c r="K179" s="16"/>
    </row>
    <row r="180" spans="1:11" s="15" customFormat="1" ht="42.75" customHeight="1" x14ac:dyDescent="0.4">
      <c r="A180" s="17" t="s">
        <v>80</v>
      </c>
      <c r="B180" s="17"/>
      <c r="C180" s="95" t="s">
        <v>107</v>
      </c>
      <c r="D180" s="95"/>
      <c r="E180" s="95"/>
      <c r="F180" s="95"/>
      <c r="G180" s="95"/>
      <c r="H180" s="95"/>
      <c r="I180" s="16"/>
      <c r="J180" s="16"/>
      <c r="K180" s="16"/>
    </row>
    <row r="181" spans="1:11" s="15" customFormat="1" ht="31.5" customHeight="1" x14ac:dyDescent="0.4">
      <c r="A181" s="17"/>
      <c r="B181" s="17"/>
      <c r="C181" s="18"/>
      <c r="D181" s="18"/>
      <c r="E181" s="18"/>
      <c r="F181" s="18"/>
      <c r="G181" s="18"/>
      <c r="H181" s="18"/>
      <c r="I181" s="16"/>
      <c r="J181" s="16"/>
      <c r="K181" s="16"/>
    </row>
    <row r="182" spans="1:11" s="15" customFormat="1" ht="31.5" customHeight="1" x14ac:dyDescent="0.4">
      <c r="A182" s="17" t="s">
        <v>81</v>
      </c>
      <c r="B182" s="17"/>
      <c r="C182" s="96" t="s">
        <v>137</v>
      </c>
      <c r="D182" s="96"/>
      <c r="E182" s="96"/>
      <c r="F182" s="96"/>
      <c r="G182" s="96"/>
      <c r="H182" s="96"/>
      <c r="I182" s="96"/>
      <c r="J182" s="96"/>
      <c r="K182" s="96"/>
    </row>
    <row r="183" spans="1:11" s="15" customFormat="1" ht="46.5" customHeight="1" x14ac:dyDescent="0.4">
      <c r="A183" s="17" t="s">
        <v>80</v>
      </c>
      <c r="B183" s="17"/>
      <c r="C183" s="95" t="s">
        <v>107</v>
      </c>
      <c r="D183" s="95"/>
      <c r="E183" s="95"/>
      <c r="F183" s="95"/>
      <c r="G183" s="95"/>
      <c r="H183" s="95"/>
      <c r="I183" s="16"/>
      <c r="J183" s="16"/>
      <c r="K183" s="16"/>
    </row>
    <row r="185" spans="1:11" ht="66" customHeight="1" x14ac:dyDescent="0.25">
      <c r="A185" s="62" t="s">
        <v>0</v>
      </c>
      <c r="B185" s="62"/>
      <c r="C185" s="62"/>
      <c r="D185" s="62"/>
      <c r="E185" s="62"/>
      <c r="F185" s="62"/>
      <c r="G185" s="62"/>
      <c r="H185" s="62"/>
      <c r="I185" s="62"/>
      <c r="J185" s="62"/>
      <c r="K185" s="62"/>
    </row>
    <row r="186" spans="1:11" ht="27.75" customHeight="1" x14ac:dyDescent="0.3">
      <c r="A186" s="63" t="s">
        <v>1</v>
      </c>
      <c r="B186" s="63"/>
      <c r="C186" s="63"/>
      <c r="D186" s="63"/>
      <c r="E186" s="63"/>
      <c r="F186" s="63"/>
      <c r="G186" s="63"/>
      <c r="H186" s="63"/>
      <c r="I186" s="63"/>
      <c r="J186" s="63"/>
      <c r="K186" s="63"/>
    </row>
    <row r="187" spans="1:11" ht="46.5" customHeight="1" x14ac:dyDescent="0.25">
      <c r="A187" s="64" t="s">
        <v>2</v>
      </c>
      <c r="B187" s="64"/>
      <c r="C187" s="64"/>
      <c r="D187" s="64"/>
      <c r="E187" s="64"/>
      <c r="F187" s="64"/>
      <c r="G187" s="64"/>
      <c r="H187" s="64"/>
      <c r="I187" s="64"/>
      <c r="J187" s="64"/>
      <c r="K187" s="64"/>
    </row>
    <row r="188" spans="1:11" ht="39" customHeight="1" x14ac:dyDescent="0.55000000000000004">
      <c r="A188" s="65" t="s">
        <v>144</v>
      </c>
      <c r="B188" s="65"/>
      <c r="C188" s="65"/>
      <c r="D188" s="65"/>
      <c r="E188" s="65"/>
      <c r="F188" s="65"/>
      <c r="G188" s="65"/>
      <c r="H188" s="65"/>
      <c r="I188" s="65"/>
      <c r="J188" s="65"/>
      <c r="K188" s="65"/>
    </row>
    <row r="189" spans="1:11" ht="31.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s="20" customFormat="1" ht="31.5" customHeight="1" x14ac:dyDescent="0.4">
      <c r="A190" s="19" t="s">
        <v>60</v>
      </c>
      <c r="B190" s="59" t="s">
        <v>171</v>
      </c>
      <c r="C190" s="59"/>
      <c r="D190" s="59"/>
      <c r="E190" s="59"/>
      <c r="F190" s="59"/>
      <c r="G190" s="19" t="s">
        <v>59</v>
      </c>
      <c r="H190" s="47" t="s">
        <v>161</v>
      </c>
      <c r="I190" s="19" t="s">
        <v>75</v>
      </c>
      <c r="J190" s="59" t="str">
        <f>J7</f>
        <v>SS 1</v>
      </c>
      <c r="K190" s="59"/>
    </row>
    <row r="191" spans="1:11" s="20" customFormat="1" ht="31.5" customHeight="1" x14ac:dyDescent="0.4">
      <c r="A191" s="19" t="s">
        <v>61</v>
      </c>
      <c r="B191" s="59" t="s">
        <v>84</v>
      </c>
      <c r="C191" s="59"/>
      <c r="D191" s="19" t="s">
        <v>68</v>
      </c>
      <c r="E191" s="59" t="s">
        <v>141</v>
      </c>
      <c r="F191" s="59"/>
      <c r="G191" s="59"/>
      <c r="H191" s="59"/>
      <c r="I191" s="19" t="s">
        <v>69</v>
      </c>
      <c r="J191" s="59" t="s">
        <v>85</v>
      </c>
      <c r="K191" s="59"/>
    </row>
    <row r="192" spans="1:11" s="20" customFormat="1" ht="35.25" customHeight="1" x14ac:dyDescent="0.4">
      <c r="A192" s="19" t="s">
        <v>63</v>
      </c>
      <c r="B192" s="47" t="str">
        <f>B9</f>
        <v>First Term 24/25 Session</v>
      </c>
      <c r="C192" s="47"/>
      <c r="D192" s="47"/>
      <c r="E192" s="55"/>
      <c r="F192" s="19" t="s">
        <v>62</v>
      </c>
      <c r="H192" s="47">
        <f>H9</f>
        <v>17</v>
      </c>
      <c r="I192" s="19" t="s">
        <v>70</v>
      </c>
      <c r="J192" s="59"/>
      <c r="K192" s="59"/>
    </row>
    <row r="193" spans="1:11" s="20" customFormat="1" ht="39" customHeight="1" x14ac:dyDescent="0.4">
      <c r="A193" s="19" t="s">
        <v>71</v>
      </c>
      <c r="B193" s="21" t="str">
        <f>B10</f>
        <v>25th March, 2025</v>
      </c>
      <c r="C193" s="21"/>
      <c r="D193" s="21"/>
      <c r="E193" s="21"/>
      <c r="F193" s="19" t="s">
        <v>73</v>
      </c>
      <c r="G193" s="19"/>
      <c r="H193" s="24" t="str">
        <f>H10</f>
        <v>28th April, 2025</v>
      </c>
      <c r="I193" s="21"/>
      <c r="J193" s="21"/>
      <c r="K193" s="21"/>
    </row>
    <row r="194" spans="1:11" s="20" customFormat="1" ht="39.75" customHeight="1" x14ac:dyDescent="0.4">
      <c r="A194" s="19" t="s">
        <v>72</v>
      </c>
      <c r="B194" s="21"/>
      <c r="C194" s="60"/>
      <c r="D194" s="60"/>
      <c r="E194" s="60"/>
      <c r="F194" s="19" t="s">
        <v>74</v>
      </c>
      <c r="G194" s="19"/>
      <c r="H194" s="61"/>
      <c r="I194" s="61"/>
      <c r="J194" s="61"/>
      <c r="K194" s="61"/>
    </row>
    <row r="195" spans="1:11" s="20" customFormat="1" ht="21" customHeight="1" x14ac:dyDescent="0.4">
      <c r="A195" s="19"/>
      <c r="B195" s="21"/>
      <c r="C195" s="51"/>
      <c r="D195" s="51"/>
      <c r="E195" s="51"/>
      <c r="F195" s="19"/>
      <c r="G195" s="19"/>
      <c r="H195" s="52"/>
      <c r="I195" s="52"/>
      <c r="J195" s="52"/>
      <c r="K195" s="52"/>
    </row>
    <row r="196" spans="1:11" s="20" customFormat="1" ht="34.5" x14ac:dyDescent="0.45">
      <c r="A196" s="19"/>
      <c r="B196" s="67" t="s">
        <v>164</v>
      </c>
      <c r="C196" s="67"/>
      <c r="D196" s="67"/>
      <c r="E196" s="67"/>
      <c r="F196" s="67"/>
      <c r="G196" s="67"/>
      <c r="H196" s="67"/>
      <c r="I196" s="67"/>
      <c r="J196" s="67"/>
      <c r="K196" s="67"/>
    </row>
    <row r="197" spans="1:11" s="14" customFormat="1" ht="36.75" customHeight="1" x14ac:dyDescent="0.45">
      <c r="A197" s="15"/>
      <c r="B197" s="67" t="s">
        <v>5</v>
      </c>
      <c r="C197" s="67"/>
      <c r="D197" s="67"/>
      <c r="E197" s="67"/>
      <c r="F197" s="67"/>
      <c r="G197" s="67"/>
      <c r="H197" s="67"/>
      <c r="I197" s="67"/>
      <c r="J197" s="67"/>
      <c r="K197" s="67"/>
    </row>
    <row r="198" spans="1:11" s="14" customFormat="1" ht="31.5" customHeight="1" x14ac:dyDescent="0.4">
      <c r="B198" s="68" t="s">
        <v>22</v>
      </c>
      <c r="C198" s="69"/>
      <c r="D198" s="69"/>
      <c r="E198" s="69"/>
      <c r="F198" s="49" t="s">
        <v>24</v>
      </c>
      <c r="G198" s="70" t="s">
        <v>25</v>
      </c>
      <c r="H198" s="72" t="s">
        <v>27</v>
      </c>
      <c r="I198" s="75" t="s">
        <v>66</v>
      </c>
      <c r="J198" s="76"/>
      <c r="K198" s="76" t="s">
        <v>29</v>
      </c>
    </row>
    <row r="199" spans="1:11" s="14" customFormat="1" ht="31.5" customHeight="1" x14ac:dyDescent="0.4">
      <c r="B199" s="68" t="s">
        <v>76</v>
      </c>
      <c r="C199" s="79"/>
      <c r="D199" s="26" t="s">
        <v>77</v>
      </c>
      <c r="E199" s="27" t="s">
        <v>77</v>
      </c>
      <c r="F199" s="28" t="s">
        <v>23</v>
      </c>
      <c r="G199" s="71"/>
      <c r="H199" s="73"/>
      <c r="I199" s="75"/>
      <c r="J199" s="77"/>
      <c r="K199" s="77"/>
    </row>
    <row r="200" spans="1:11" s="14" customFormat="1" ht="31.5" customHeight="1" x14ac:dyDescent="0.4">
      <c r="B200" s="80">
        <v>0.05</v>
      </c>
      <c r="C200" s="80">
        <v>0.05</v>
      </c>
      <c r="D200" s="80">
        <v>0.1</v>
      </c>
      <c r="E200" s="80">
        <v>0.1</v>
      </c>
      <c r="F200" s="90">
        <v>0.7</v>
      </c>
      <c r="G200" s="53" t="s">
        <v>26</v>
      </c>
      <c r="H200" s="74"/>
      <c r="I200" s="70"/>
      <c r="J200" s="77"/>
      <c r="K200" s="77"/>
    </row>
    <row r="201" spans="1:11" s="14" customFormat="1" ht="31.5" customHeight="1" x14ac:dyDescent="0.4">
      <c r="A201" s="23" t="s">
        <v>4</v>
      </c>
      <c r="B201" s="81"/>
      <c r="C201" s="81"/>
      <c r="D201" s="81"/>
      <c r="E201" s="81"/>
      <c r="F201" s="91"/>
      <c r="G201" s="29">
        <v>1</v>
      </c>
      <c r="H201" s="28" t="s">
        <v>28</v>
      </c>
      <c r="I201" s="43" t="s">
        <v>65</v>
      </c>
      <c r="J201" s="48" t="s">
        <v>67</v>
      </c>
      <c r="K201" s="78"/>
    </row>
    <row r="202" spans="1:11" s="3" customFormat="1" ht="41.25" customHeight="1" x14ac:dyDescent="0.4">
      <c r="A202" s="57" t="s">
        <v>6</v>
      </c>
      <c r="B202" s="33">
        <v>8</v>
      </c>
      <c r="C202" s="33">
        <v>9</v>
      </c>
      <c r="D202" s="33">
        <v>13</v>
      </c>
      <c r="E202" s="33">
        <v>10</v>
      </c>
      <c r="F202" s="33">
        <v>23</v>
      </c>
      <c r="G202" s="31">
        <f t="shared" ref="G202:G211" si="9">SUM(B202:F202)</f>
        <v>63</v>
      </c>
      <c r="H202" s="38">
        <v>59</v>
      </c>
      <c r="I202" s="31" t="s">
        <v>112</v>
      </c>
      <c r="J202" s="33" t="str">
        <f>IF(G202&gt;=70,"A",IF(G202&gt;=60,"B",IF(G202&gt;=50,"C",IF(G202&gt;=45,"D",IF(G202&gt;=40,"E",IF(G202&lt;=39,"F"))))))</f>
        <v>B</v>
      </c>
      <c r="K202" s="34" t="str">
        <f>IF(G202&gt;=70,"EXCELLENT",IF(G202&gt;=60,"V.GOOD",IF(G202&gt;=50,"GOOD",IF(G202&gt;=45,"PASS",IF(G202&gt;=40,"FAIR",IF(G202&lt;=39,"FAIL"))))))</f>
        <v>V.GOOD</v>
      </c>
    </row>
    <row r="203" spans="1:11" s="3" customFormat="1" ht="41.25" customHeight="1" x14ac:dyDescent="0.4">
      <c r="A203" s="57" t="s">
        <v>7</v>
      </c>
      <c r="B203" s="33">
        <v>10</v>
      </c>
      <c r="C203" s="33">
        <v>8</v>
      </c>
      <c r="D203" s="33">
        <v>8</v>
      </c>
      <c r="E203" s="33">
        <v>8</v>
      </c>
      <c r="F203" s="33">
        <v>20</v>
      </c>
      <c r="G203" s="33">
        <f t="shared" si="9"/>
        <v>54</v>
      </c>
      <c r="H203" s="39">
        <v>60.8</v>
      </c>
      <c r="I203" s="33" t="s">
        <v>116</v>
      </c>
      <c r="J203" s="33" t="str">
        <f t="shared" ref="J203:J211" si="10">IF(G203&gt;=70,"A",IF(G203&gt;=60,"B",IF(G203&gt;=50,"C",IF(G203&gt;=45,"D",IF(G203&gt;=40,"E",IF(G203&lt;=39,"F"))))))</f>
        <v>C</v>
      </c>
      <c r="K203" s="34" t="str">
        <f t="shared" ref="K203:K211" si="11">IF(G203&gt;=70,"EXCELLENT",IF(G203&gt;=60,"V.GOOD",IF(G203&gt;=50,"GOOD",IF(G203&gt;=45,"PASS",IF(G203&gt;=40,"FAIR",IF(G203&lt;=39,"FAIL"))))))</f>
        <v>GOOD</v>
      </c>
    </row>
    <row r="204" spans="1:11" s="3" customFormat="1" ht="41.25" customHeight="1" x14ac:dyDescent="0.4">
      <c r="A204" s="57" t="s">
        <v>173</v>
      </c>
      <c r="B204" s="33">
        <v>4</v>
      </c>
      <c r="C204" s="33">
        <v>6</v>
      </c>
      <c r="D204" s="33">
        <v>10</v>
      </c>
      <c r="E204" s="33">
        <v>10</v>
      </c>
      <c r="F204" s="33">
        <v>22</v>
      </c>
      <c r="G204" s="33">
        <f t="shared" si="9"/>
        <v>52</v>
      </c>
      <c r="H204" s="39">
        <v>57.6</v>
      </c>
      <c r="I204" s="33" t="s">
        <v>113</v>
      </c>
      <c r="J204" s="33" t="str">
        <f t="shared" si="10"/>
        <v>C</v>
      </c>
      <c r="K204" s="34" t="str">
        <f t="shared" si="11"/>
        <v>GOOD</v>
      </c>
    </row>
    <row r="205" spans="1:11" s="3" customFormat="1" ht="41.25" customHeight="1" x14ac:dyDescent="0.4">
      <c r="A205" s="57" t="s">
        <v>13</v>
      </c>
      <c r="B205" s="33">
        <v>10</v>
      </c>
      <c r="C205" s="33">
        <v>10</v>
      </c>
      <c r="D205" s="33">
        <v>14</v>
      </c>
      <c r="E205" s="33">
        <v>14</v>
      </c>
      <c r="F205" s="33">
        <v>33</v>
      </c>
      <c r="G205" s="33">
        <f t="shared" si="9"/>
        <v>81</v>
      </c>
      <c r="H205" s="39">
        <v>61</v>
      </c>
      <c r="I205" s="33" t="s">
        <v>111</v>
      </c>
      <c r="J205" s="33" t="str">
        <f t="shared" si="10"/>
        <v>A</v>
      </c>
      <c r="K205" s="34" t="str">
        <f t="shared" si="11"/>
        <v>EXCELLENT</v>
      </c>
    </row>
    <row r="206" spans="1:11" s="3" customFormat="1" ht="41.25" customHeight="1" x14ac:dyDescent="0.4">
      <c r="A206" s="57" t="s">
        <v>155</v>
      </c>
      <c r="B206" s="33">
        <v>10</v>
      </c>
      <c r="C206" s="33">
        <v>10</v>
      </c>
      <c r="D206" s="33">
        <v>13</v>
      </c>
      <c r="E206" s="33">
        <v>7</v>
      </c>
      <c r="F206" s="33">
        <v>31</v>
      </c>
      <c r="G206" s="33">
        <f t="shared" si="9"/>
        <v>71</v>
      </c>
      <c r="H206" s="39">
        <v>54.8</v>
      </c>
      <c r="I206" s="33" t="s">
        <v>112</v>
      </c>
      <c r="J206" s="33" t="str">
        <f t="shared" si="10"/>
        <v>A</v>
      </c>
      <c r="K206" s="34" t="str">
        <f t="shared" si="11"/>
        <v>EXCELLENT</v>
      </c>
    </row>
    <row r="207" spans="1:11" s="3" customFormat="1" ht="41.25" customHeight="1" x14ac:dyDescent="0.4">
      <c r="A207" s="57" t="s">
        <v>156</v>
      </c>
      <c r="B207" s="33">
        <v>7</v>
      </c>
      <c r="C207" s="33">
        <v>7</v>
      </c>
      <c r="D207" s="33">
        <v>20</v>
      </c>
      <c r="E207" s="33">
        <v>14</v>
      </c>
      <c r="F207" s="33">
        <v>39</v>
      </c>
      <c r="G207" s="33">
        <f t="shared" si="9"/>
        <v>87</v>
      </c>
      <c r="H207" s="39">
        <v>62.5</v>
      </c>
      <c r="I207" s="33" t="s">
        <v>111</v>
      </c>
      <c r="J207" s="33" t="str">
        <f t="shared" si="10"/>
        <v>A</v>
      </c>
      <c r="K207" s="34" t="str">
        <f t="shared" si="11"/>
        <v>EXCELLENT</v>
      </c>
    </row>
    <row r="208" spans="1:11" s="3" customFormat="1" ht="41.25" customHeight="1" x14ac:dyDescent="0.4">
      <c r="A208" s="57" t="s">
        <v>157</v>
      </c>
      <c r="B208" s="33">
        <v>10</v>
      </c>
      <c r="C208" s="33">
        <v>9</v>
      </c>
      <c r="D208" s="33">
        <v>17</v>
      </c>
      <c r="E208" s="33">
        <v>17</v>
      </c>
      <c r="F208" s="33">
        <v>30</v>
      </c>
      <c r="G208" s="33">
        <f t="shared" si="9"/>
        <v>83</v>
      </c>
      <c r="H208" s="39">
        <v>61.8</v>
      </c>
      <c r="I208" s="33" t="s">
        <v>111</v>
      </c>
      <c r="J208" s="33" t="str">
        <f t="shared" si="10"/>
        <v>A</v>
      </c>
      <c r="K208" s="34" t="str">
        <f t="shared" si="11"/>
        <v>EXCELLENT</v>
      </c>
    </row>
    <row r="209" spans="1:11" s="3" customFormat="1" ht="41.25" customHeight="1" x14ac:dyDescent="0.4">
      <c r="A209" s="57" t="s">
        <v>174</v>
      </c>
      <c r="B209" s="33">
        <v>10</v>
      </c>
      <c r="C209" s="33">
        <v>10</v>
      </c>
      <c r="D209" s="33">
        <v>17</v>
      </c>
      <c r="E209" s="33">
        <v>20</v>
      </c>
      <c r="F209" s="33">
        <v>27</v>
      </c>
      <c r="G209" s="33">
        <f t="shared" si="9"/>
        <v>84</v>
      </c>
      <c r="H209" s="39">
        <v>68.2</v>
      </c>
      <c r="I209" s="33" t="s">
        <v>112</v>
      </c>
      <c r="J209" s="33" t="str">
        <f t="shared" si="10"/>
        <v>A</v>
      </c>
      <c r="K209" s="34" t="str">
        <f t="shared" si="11"/>
        <v>EXCELLENT</v>
      </c>
    </row>
    <row r="210" spans="1:11" s="3" customFormat="1" ht="41.25" customHeight="1" x14ac:dyDescent="0.4">
      <c r="A210" s="57" t="s">
        <v>158</v>
      </c>
      <c r="B210" s="33">
        <v>10</v>
      </c>
      <c r="C210" s="33">
        <v>8</v>
      </c>
      <c r="D210" s="33">
        <v>18</v>
      </c>
      <c r="E210" s="33">
        <v>18</v>
      </c>
      <c r="F210" s="33">
        <v>38</v>
      </c>
      <c r="G210" s="33">
        <f t="shared" si="9"/>
        <v>92</v>
      </c>
      <c r="H210" s="39">
        <v>82.4</v>
      </c>
      <c r="I210" s="33" t="s">
        <v>112</v>
      </c>
      <c r="J210" s="33" t="str">
        <f t="shared" si="10"/>
        <v>A</v>
      </c>
      <c r="K210" s="34" t="str">
        <f t="shared" si="11"/>
        <v>EXCELLENT</v>
      </c>
    </row>
    <row r="211" spans="1:11" s="3" customFormat="1" ht="41.25" customHeight="1" x14ac:dyDescent="0.4">
      <c r="A211" s="57" t="s">
        <v>175</v>
      </c>
      <c r="B211" s="33">
        <v>8</v>
      </c>
      <c r="C211" s="33">
        <v>8</v>
      </c>
      <c r="D211" s="33">
        <v>15</v>
      </c>
      <c r="E211" s="33">
        <v>14</v>
      </c>
      <c r="F211" s="33">
        <v>24</v>
      </c>
      <c r="G211" s="33">
        <f t="shared" si="9"/>
        <v>69</v>
      </c>
      <c r="H211" s="39">
        <v>70.8</v>
      </c>
      <c r="I211" s="33" t="s">
        <v>116</v>
      </c>
      <c r="J211" s="33" t="str">
        <f t="shared" si="10"/>
        <v>B</v>
      </c>
      <c r="K211" s="34" t="str">
        <f t="shared" si="11"/>
        <v>V.GOOD</v>
      </c>
    </row>
    <row r="212" spans="1:11" s="3" customFormat="1" ht="41.25" customHeight="1" x14ac:dyDescent="0.4">
      <c r="A212" s="58"/>
      <c r="B212" s="33"/>
      <c r="C212" s="33"/>
      <c r="D212" s="33"/>
      <c r="E212" s="33"/>
      <c r="F212" s="33"/>
      <c r="G212" s="33"/>
      <c r="H212" s="39"/>
      <c r="I212" s="33"/>
      <c r="J212" s="33"/>
      <c r="K212" s="34"/>
    </row>
    <row r="213" spans="1:11" s="3" customFormat="1" ht="41.25" customHeight="1" x14ac:dyDescent="0.4">
      <c r="A213" s="58"/>
      <c r="B213" s="33"/>
      <c r="C213" s="33"/>
      <c r="D213" s="33"/>
      <c r="E213" s="33"/>
      <c r="F213" s="33"/>
      <c r="G213" s="33"/>
      <c r="H213" s="39"/>
      <c r="I213" s="33"/>
      <c r="J213" s="33"/>
      <c r="K213" s="34"/>
    </row>
    <row r="214" spans="1:11" s="3" customFormat="1" ht="41.25" customHeight="1" x14ac:dyDescent="0.4">
      <c r="A214" s="58"/>
      <c r="B214" s="33"/>
      <c r="C214" s="33"/>
      <c r="D214" s="33"/>
      <c r="E214" s="33"/>
      <c r="F214" s="33"/>
      <c r="G214" s="33"/>
      <c r="H214" s="39"/>
      <c r="I214" s="33"/>
      <c r="J214" s="33"/>
      <c r="K214" s="34"/>
    </row>
    <row r="215" spans="1:11" s="3" customFormat="1" ht="41.25" customHeight="1" x14ac:dyDescent="0.4">
      <c r="A215" s="58"/>
      <c r="B215" s="33"/>
      <c r="C215" s="33"/>
      <c r="D215" s="33"/>
      <c r="E215" s="33"/>
      <c r="F215" s="33"/>
      <c r="G215" s="33"/>
      <c r="H215" s="39"/>
      <c r="I215" s="33"/>
      <c r="J215" s="33"/>
      <c r="K215" s="34"/>
    </row>
    <row r="216" spans="1:11" s="3" customFormat="1" ht="41.25" customHeight="1" x14ac:dyDescent="0.4">
      <c r="A216" s="58"/>
      <c r="B216" s="33"/>
      <c r="C216" s="33"/>
      <c r="D216" s="33"/>
      <c r="E216" s="33"/>
      <c r="F216" s="33"/>
      <c r="G216" s="33"/>
      <c r="H216" s="39"/>
      <c r="I216" s="33"/>
      <c r="J216" s="33"/>
      <c r="K216" s="34"/>
    </row>
    <row r="217" spans="1:11" s="3" customFormat="1" ht="41.25" customHeight="1" x14ac:dyDescent="0.4">
      <c r="A217" s="58"/>
      <c r="B217" s="33"/>
      <c r="C217" s="33"/>
      <c r="D217" s="33"/>
      <c r="E217" s="33"/>
      <c r="F217" s="33"/>
      <c r="G217" s="33"/>
      <c r="H217" s="39"/>
      <c r="I217" s="33"/>
      <c r="J217" s="33"/>
      <c r="K217" s="34"/>
    </row>
    <row r="218" spans="1:11" s="3" customFormat="1" ht="41.25" customHeight="1" x14ac:dyDescent="0.4">
      <c r="A218" s="58"/>
      <c r="B218" s="33"/>
      <c r="C218" s="33"/>
      <c r="D218" s="33"/>
      <c r="E218" s="33"/>
      <c r="F218" s="33"/>
      <c r="G218" s="33"/>
      <c r="H218" s="39"/>
      <c r="I218" s="33"/>
      <c r="J218" s="33"/>
      <c r="K218" s="34"/>
    </row>
    <row r="219" spans="1:11" s="3" customFormat="1" ht="41.25" customHeight="1" x14ac:dyDescent="0.4">
      <c r="A219" s="4"/>
      <c r="B219" s="25"/>
      <c r="C219" s="25"/>
      <c r="D219" s="25"/>
      <c r="E219" s="25"/>
      <c r="F219" s="25"/>
      <c r="G219" s="25"/>
      <c r="H219" s="25"/>
      <c r="I219" s="25"/>
      <c r="J219" s="25"/>
      <c r="K219" s="25"/>
    </row>
    <row r="220" spans="1:11" s="3" customFormat="1" ht="41.25" customHeight="1" x14ac:dyDescent="0.4">
      <c r="A220" s="4"/>
      <c r="B220" s="25"/>
      <c r="C220" s="25"/>
      <c r="D220" s="25"/>
      <c r="E220" s="25"/>
      <c r="F220" s="25"/>
      <c r="G220" s="25"/>
      <c r="H220" s="25"/>
      <c r="I220" s="25"/>
      <c r="J220" s="25"/>
      <c r="K220" s="25"/>
    </row>
    <row r="221" spans="1:11" s="3" customFormat="1" ht="31.5" customHeight="1" x14ac:dyDescent="0.35">
      <c r="A221" s="5"/>
    </row>
    <row r="222" spans="1:11" s="3" customFormat="1" ht="31.5" customHeight="1" x14ac:dyDescent="0.45">
      <c r="A222" s="56" t="s">
        <v>58</v>
      </c>
      <c r="B222" s="36">
        <f>SUM(G202:G218)</f>
        <v>736</v>
      </c>
      <c r="C222" s="22"/>
      <c r="D222" s="22"/>
      <c r="E222" s="37"/>
      <c r="F222" s="83" t="s">
        <v>49</v>
      </c>
      <c r="G222" s="83"/>
      <c r="H222" s="93">
        <f>B222</f>
        <v>736</v>
      </c>
      <c r="I222" s="93"/>
      <c r="J222" s="92" t="s">
        <v>50</v>
      </c>
      <c r="K222" s="82">
        <f>H222/17</f>
        <v>43.294117647058826</v>
      </c>
    </row>
    <row r="223" spans="1:11" s="3" customFormat="1" ht="31.5" customHeight="1" x14ac:dyDescent="0.45">
      <c r="A223" s="37"/>
      <c r="B223" s="22"/>
      <c r="C223" s="22"/>
      <c r="D223" s="22"/>
      <c r="E223" s="37"/>
      <c r="F223" s="37"/>
      <c r="G223" s="37"/>
      <c r="H223" s="83">
        <v>17</v>
      </c>
      <c r="I223" s="83"/>
      <c r="J223" s="92"/>
      <c r="K223" s="82"/>
    </row>
    <row r="224" spans="1:11" s="3" customFormat="1" ht="31.5" customHeight="1" x14ac:dyDescent="0.35">
      <c r="A224" s="5"/>
      <c r="E224" s="5"/>
      <c r="F224" s="5"/>
      <c r="G224" s="5"/>
      <c r="H224" s="8"/>
      <c r="I224" s="8"/>
      <c r="J224" s="12"/>
      <c r="K224" s="13"/>
    </row>
    <row r="225" spans="1:11" s="3" customFormat="1" ht="33.75" customHeight="1" x14ac:dyDescent="0.35">
      <c r="A225" s="5"/>
      <c r="D225" s="84" t="s">
        <v>30</v>
      </c>
      <c r="E225" s="84"/>
      <c r="F225" s="84"/>
      <c r="G225" s="84"/>
      <c r="H225" s="84"/>
    </row>
    <row r="226" spans="1:11" s="3" customFormat="1" ht="33.75" customHeight="1" x14ac:dyDescent="0.35">
      <c r="A226" s="85" t="s">
        <v>31</v>
      </c>
      <c r="B226" s="86"/>
      <c r="C226" s="87"/>
      <c r="D226" s="41" t="s">
        <v>44</v>
      </c>
      <c r="E226" s="41" t="s">
        <v>45</v>
      </c>
      <c r="F226" s="41" t="s">
        <v>46</v>
      </c>
      <c r="G226" s="41" t="s">
        <v>47</v>
      </c>
      <c r="H226" s="41" t="s">
        <v>48</v>
      </c>
      <c r="I226" s="9"/>
      <c r="J226" s="11" t="s">
        <v>51</v>
      </c>
      <c r="K226" s="5"/>
    </row>
    <row r="227" spans="1:11" s="3" customFormat="1" ht="33.75" customHeight="1" x14ac:dyDescent="0.35">
      <c r="A227" s="88" t="s">
        <v>32</v>
      </c>
      <c r="B227" s="88"/>
      <c r="C227" s="88"/>
      <c r="D227" s="45" t="s">
        <v>124</v>
      </c>
      <c r="E227" s="7"/>
      <c r="F227" s="7"/>
      <c r="G227" s="7"/>
      <c r="H227" s="7"/>
      <c r="I227" s="9"/>
      <c r="J227" s="5" t="s">
        <v>52</v>
      </c>
      <c r="K227" s="5"/>
    </row>
    <row r="228" spans="1:11" s="3" customFormat="1" ht="33.75" customHeight="1" x14ac:dyDescent="0.35">
      <c r="A228" s="88" t="s">
        <v>33</v>
      </c>
      <c r="B228" s="88"/>
      <c r="C228" s="88"/>
      <c r="D228" s="7"/>
      <c r="E228" s="45" t="s">
        <v>124</v>
      </c>
      <c r="F228" s="7"/>
      <c r="G228" s="7"/>
      <c r="H228" s="7"/>
      <c r="I228" s="9"/>
      <c r="J228" s="5" t="s">
        <v>53</v>
      </c>
      <c r="K228" s="5"/>
    </row>
    <row r="229" spans="1:11" s="3" customFormat="1" ht="33.75" customHeight="1" x14ac:dyDescent="0.35">
      <c r="A229" s="88" t="s">
        <v>34</v>
      </c>
      <c r="B229" s="88"/>
      <c r="C229" s="88"/>
      <c r="D229" s="45" t="s">
        <v>124</v>
      </c>
      <c r="E229" s="7"/>
      <c r="F229" s="7"/>
      <c r="G229" s="7"/>
      <c r="H229" s="7"/>
      <c r="I229" s="9"/>
      <c r="J229" s="5" t="s">
        <v>54</v>
      </c>
      <c r="K229" s="5"/>
    </row>
    <row r="230" spans="1:11" s="3" customFormat="1" ht="33.75" customHeight="1" x14ac:dyDescent="0.35">
      <c r="A230" s="88" t="s">
        <v>35</v>
      </c>
      <c r="B230" s="88"/>
      <c r="C230" s="88"/>
      <c r="D230" s="45" t="s">
        <v>124</v>
      </c>
      <c r="E230" s="7"/>
      <c r="F230" s="7"/>
      <c r="G230" s="7"/>
      <c r="H230" s="7"/>
      <c r="I230" s="9"/>
      <c r="J230" s="5" t="s">
        <v>55</v>
      </c>
      <c r="K230" s="5"/>
    </row>
    <row r="231" spans="1:11" s="3" customFormat="1" ht="33.75" customHeight="1" x14ac:dyDescent="0.35">
      <c r="A231" s="88" t="s">
        <v>36</v>
      </c>
      <c r="B231" s="88"/>
      <c r="C231" s="88"/>
      <c r="D231" s="45" t="s">
        <v>124</v>
      </c>
      <c r="E231" s="7"/>
      <c r="F231" s="7"/>
      <c r="G231" s="7"/>
      <c r="H231" s="7"/>
      <c r="I231" s="9"/>
      <c r="J231" s="5" t="s">
        <v>56</v>
      </c>
      <c r="K231" s="5"/>
    </row>
    <row r="232" spans="1:11" s="3" customFormat="1" ht="33.75" customHeight="1" x14ac:dyDescent="0.35">
      <c r="A232" s="88" t="s">
        <v>37</v>
      </c>
      <c r="B232" s="88"/>
      <c r="C232" s="88"/>
      <c r="D232" s="45" t="s">
        <v>124</v>
      </c>
      <c r="E232" s="7"/>
      <c r="F232" s="7"/>
      <c r="G232" s="7"/>
      <c r="H232" s="7"/>
      <c r="I232" s="9"/>
      <c r="J232" s="5" t="s">
        <v>57</v>
      </c>
      <c r="K232" s="5"/>
    </row>
    <row r="233" spans="1:11" s="3" customFormat="1" ht="33.75" customHeight="1" x14ac:dyDescent="0.35">
      <c r="A233" s="88" t="s">
        <v>38</v>
      </c>
      <c r="B233" s="88"/>
      <c r="C233" s="88"/>
      <c r="D233" s="45" t="s">
        <v>124</v>
      </c>
      <c r="E233" s="7"/>
      <c r="F233" s="7"/>
      <c r="G233" s="7"/>
      <c r="H233" s="7"/>
      <c r="I233" s="9"/>
    </row>
    <row r="234" spans="1:11" s="3" customFormat="1" ht="33.75" customHeight="1" x14ac:dyDescent="0.35">
      <c r="A234" s="88" t="s">
        <v>39</v>
      </c>
      <c r="B234" s="88"/>
      <c r="C234" s="88"/>
      <c r="D234" s="45" t="s">
        <v>124</v>
      </c>
      <c r="E234" s="7"/>
      <c r="F234" s="7"/>
      <c r="G234" s="7"/>
      <c r="H234" s="7"/>
      <c r="I234" s="9"/>
    </row>
    <row r="235" spans="1:11" s="3" customFormat="1" ht="33.75" customHeight="1" x14ac:dyDescent="0.35">
      <c r="A235" s="88" t="s">
        <v>40</v>
      </c>
      <c r="B235" s="88"/>
      <c r="C235" s="88"/>
      <c r="D235" s="45" t="s">
        <v>124</v>
      </c>
      <c r="E235" s="7"/>
      <c r="F235" s="7"/>
      <c r="G235" s="7"/>
      <c r="H235" s="7"/>
      <c r="I235" s="9"/>
    </row>
    <row r="236" spans="1:11" s="3" customFormat="1" ht="33.75" customHeight="1" x14ac:dyDescent="0.35">
      <c r="A236" s="88" t="s">
        <v>41</v>
      </c>
      <c r="B236" s="88"/>
      <c r="C236" s="88"/>
      <c r="D236" s="45" t="s">
        <v>124</v>
      </c>
      <c r="E236" s="7"/>
      <c r="F236" s="7"/>
      <c r="G236" s="7"/>
      <c r="H236" s="7"/>
      <c r="I236" s="9"/>
    </row>
    <row r="237" spans="1:11" s="3" customFormat="1" ht="33.75" customHeight="1" x14ac:dyDescent="0.35">
      <c r="A237" s="88" t="s">
        <v>42</v>
      </c>
      <c r="B237" s="88"/>
      <c r="C237" s="88"/>
      <c r="D237" s="7"/>
      <c r="E237" s="45" t="s">
        <v>124</v>
      </c>
      <c r="F237" s="7"/>
      <c r="G237" s="7"/>
      <c r="H237" s="7"/>
      <c r="I237" s="9"/>
    </row>
    <row r="238" spans="1:11" s="3" customFormat="1" ht="33.75" customHeight="1" x14ac:dyDescent="0.35">
      <c r="A238" s="88" t="s">
        <v>43</v>
      </c>
      <c r="B238" s="88"/>
      <c r="C238" s="88"/>
      <c r="D238" s="45" t="s">
        <v>124</v>
      </c>
      <c r="E238" s="7"/>
      <c r="F238" s="7"/>
      <c r="G238" s="7"/>
      <c r="H238" s="7"/>
      <c r="I238" s="9"/>
    </row>
    <row r="239" spans="1:11" ht="52.5" customHeight="1" x14ac:dyDescent="0.25"/>
    <row r="240" spans="1:11" s="15" customFormat="1" ht="31.5" customHeight="1" x14ac:dyDescent="0.4">
      <c r="A240" s="17" t="s">
        <v>78</v>
      </c>
      <c r="B240" s="17"/>
      <c r="C240" s="94" t="s">
        <v>79</v>
      </c>
      <c r="D240" s="94"/>
      <c r="E240" s="94"/>
      <c r="F240" s="94"/>
      <c r="G240" s="94"/>
      <c r="H240" s="94"/>
      <c r="I240" s="94"/>
      <c r="J240" s="94"/>
      <c r="K240" s="16"/>
    </row>
    <row r="241" spans="1:11" s="15" customFormat="1" ht="42.75" customHeight="1" x14ac:dyDescent="0.4">
      <c r="A241" s="17" t="s">
        <v>80</v>
      </c>
      <c r="B241" s="17"/>
      <c r="C241" s="95" t="s">
        <v>107</v>
      </c>
      <c r="D241" s="95"/>
      <c r="E241" s="95"/>
      <c r="F241" s="95"/>
      <c r="G241" s="95"/>
      <c r="H241" s="95"/>
      <c r="I241" s="16"/>
      <c r="J241" s="16"/>
      <c r="K241" s="16"/>
    </row>
    <row r="242" spans="1:11" s="15" customFormat="1" ht="31.5" customHeight="1" x14ac:dyDescent="0.4">
      <c r="A242" s="17"/>
      <c r="B242" s="17"/>
      <c r="C242" s="18"/>
      <c r="D242" s="18"/>
      <c r="E242" s="18"/>
      <c r="F242" s="18"/>
      <c r="G242" s="18"/>
      <c r="H242" s="18"/>
      <c r="I242" s="16"/>
      <c r="J242" s="16"/>
      <c r="K242" s="16"/>
    </row>
    <row r="243" spans="1:11" s="15" customFormat="1" ht="31.5" customHeight="1" x14ac:dyDescent="0.4">
      <c r="A243" s="17" t="s">
        <v>81</v>
      </c>
      <c r="B243" s="17"/>
      <c r="C243" s="94" t="s">
        <v>127</v>
      </c>
      <c r="D243" s="94"/>
      <c r="E243" s="94"/>
      <c r="F243" s="94"/>
      <c r="G243" s="94"/>
      <c r="H243" s="94"/>
      <c r="I243" s="94"/>
      <c r="J243" s="94"/>
      <c r="K243" s="16"/>
    </row>
    <row r="244" spans="1:11" s="15" customFormat="1" ht="46.5" customHeight="1" x14ac:dyDescent="0.4">
      <c r="A244" s="17" t="s">
        <v>80</v>
      </c>
      <c r="B244" s="17"/>
      <c r="C244" s="95" t="s">
        <v>107</v>
      </c>
      <c r="D244" s="95"/>
      <c r="E244" s="95"/>
      <c r="F244" s="95"/>
      <c r="G244" s="95"/>
      <c r="H244" s="95"/>
      <c r="I244" s="16"/>
      <c r="J244" s="16"/>
      <c r="K244" s="16"/>
    </row>
    <row r="246" spans="1:11" ht="66" customHeight="1" x14ac:dyDescent="0.25">
      <c r="A246" s="62" t="s">
        <v>0</v>
      </c>
      <c r="B246" s="62"/>
      <c r="C246" s="62"/>
      <c r="D246" s="62"/>
      <c r="E246" s="62"/>
      <c r="F246" s="62"/>
      <c r="G246" s="62"/>
      <c r="H246" s="62"/>
      <c r="I246" s="62"/>
      <c r="J246" s="62"/>
      <c r="K246" s="62"/>
    </row>
    <row r="247" spans="1:11" ht="27.75" customHeight="1" x14ac:dyDescent="0.3">
      <c r="A247" s="63" t="s">
        <v>1</v>
      </c>
      <c r="B247" s="63"/>
      <c r="C247" s="63"/>
      <c r="D247" s="63"/>
      <c r="E247" s="63"/>
      <c r="F247" s="63"/>
      <c r="G247" s="63"/>
      <c r="H247" s="63"/>
      <c r="I247" s="63"/>
      <c r="J247" s="63"/>
      <c r="K247" s="63"/>
    </row>
    <row r="248" spans="1:11" ht="46.5" customHeight="1" x14ac:dyDescent="0.25">
      <c r="A248" s="64" t="s">
        <v>2</v>
      </c>
      <c r="B248" s="64"/>
      <c r="C248" s="64"/>
      <c r="D248" s="64"/>
      <c r="E248" s="64"/>
      <c r="F248" s="64"/>
      <c r="G248" s="64"/>
      <c r="H248" s="64"/>
      <c r="I248" s="64"/>
      <c r="J248" s="64"/>
      <c r="K248" s="64"/>
    </row>
    <row r="249" spans="1:11" ht="39" customHeight="1" x14ac:dyDescent="0.55000000000000004">
      <c r="A249" s="65" t="s">
        <v>144</v>
      </c>
      <c r="B249" s="65"/>
      <c r="C249" s="65"/>
      <c r="D249" s="65"/>
      <c r="E249" s="65"/>
      <c r="F249" s="65"/>
      <c r="G249" s="65"/>
      <c r="H249" s="65"/>
      <c r="I249" s="65"/>
      <c r="J249" s="65"/>
      <c r="K249" s="65"/>
    </row>
    <row r="250" spans="1:11" ht="31.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s="20" customFormat="1" ht="31.5" customHeight="1" x14ac:dyDescent="0.4">
      <c r="A251" s="19" t="s">
        <v>60</v>
      </c>
      <c r="B251" s="59" t="s">
        <v>165</v>
      </c>
      <c r="C251" s="59"/>
      <c r="D251" s="59"/>
      <c r="E251" s="59"/>
      <c r="F251" s="59"/>
      <c r="G251" s="19" t="s">
        <v>59</v>
      </c>
      <c r="H251" s="47" t="s">
        <v>162</v>
      </c>
      <c r="I251" s="19" t="s">
        <v>75</v>
      </c>
      <c r="J251" s="59" t="str">
        <f>J7</f>
        <v>SS 1</v>
      </c>
      <c r="K251" s="59"/>
    </row>
    <row r="252" spans="1:11" s="20" customFormat="1" ht="31.5" customHeight="1" x14ac:dyDescent="0.45">
      <c r="A252" s="19" t="s">
        <v>61</v>
      </c>
      <c r="B252" s="59" t="s">
        <v>84</v>
      </c>
      <c r="C252" s="59"/>
      <c r="D252" s="19" t="s">
        <v>68</v>
      </c>
      <c r="E252" s="59" t="s">
        <v>166</v>
      </c>
      <c r="F252" s="59"/>
      <c r="G252" s="59"/>
      <c r="H252" s="59"/>
      <c r="I252" s="19" t="s">
        <v>69</v>
      </c>
      <c r="J252" s="97" t="s">
        <v>90</v>
      </c>
      <c r="K252" s="97"/>
    </row>
    <row r="253" spans="1:11" s="20" customFormat="1" ht="35.25" customHeight="1" x14ac:dyDescent="0.4">
      <c r="A253" s="19" t="s">
        <v>63</v>
      </c>
      <c r="B253" s="47" t="str">
        <f>B9</f>
        <v>First Term 24/25 Session</v>
      </c>
      <c r="C253" s="47"/>
      <c r="D253" s="47"/>
      <c r="E253" s="55"/>
      <c r="F253" s="19" t="s">
        <v>62</v>
      </c>
      <c r="H253" s="47">
        <f>H9</f>
        <v>17</v>
      </c>
      <c r="I253" s="19" t="s">
        <v>70</v>
      </c>
      <c r="J253" s="59"/>
      <c r="K253" s="59"/>
    </row>
    <row r="254" spans="1:11" s="20" customFormat="1" ht="39" customHeight="1" x14ac:dyDescent="0.4">
      <c r="A254" s="19" t="s">
        <v>71</v>
      </c>
      <c r="B254" s="21" t="str">
        <f>B10</f>
        <v>25th March, 2025</v>
      </c>
      <c r="C254" s="21"/>
      <c r="D254" s="21"/>
      <c r="E254" s="21"/>
      <c r="F254" s="19" t="s">
        <v>73</v>
      </c>
      <c r="G254" s="19"/>
      <c r="H254" s="24" t="str">
        <f>H10</f>
        <v>28th April, 2025</v>
      </c>
      <c r="I254" s="21"/>
      <c r="J254" s="21"/>
      <c r="K254" s="21"/>
    </row>
    <row r="255" spans="1:11" s="20" customFormat="1" ht="39.75" customHeight="1" x14ac:dyDescent="0.4">
      <c r="A255" s="19" t="s">
        <v>72</v>
      </c>
      <c r="B255" s="21"/>
      <c r="C255" s="60"/>
      <c r="D255" s="60"/>
      <c r="E255" s="60"/>
      <c r="F255" s="19" t="s">
        <v>74</v>
      </c>
      <c r="G255" s="19"/>
      <c r="H255" s="61"/>
      <c r="I255" s="61"/>
      <c r="J255" s="61"/>
      <c r="K255" s="61"/>
    </row>
    <row r="256" spans="1:11" s="20" customFormat="1" ht="21" customHeight="1" x14ac:dyDescent="0.4">
      <c r="A256" s="19"/>
      <c r="B256" s="21"/>
      <c r="C256" s="51"/>
      <c r="D256" s="51"/>
      <c r="E256" s="51"/>
      <c r="F256" s="19"/>
      <c r="G256" s="19"/>
      <c r="H256" s="52"/>
      <c r="I256" s="52"/>
      <c r="J256" s="52"/>
      <c r="K256" s="52"/>
    </row>
    <row r="257" spans="1:11" s="20" customFormat="1" ht="34.5" x14ac:dyDescent="0.45">
      <c r="A257" s="19"/>
      <c r="B257" s="67" t="s">
        <v>164</v>
      </c>
      <c r="C257" s="67"/>
      <c r="D257" s="67"/>
      <c r="E257" s="67"/>
      <c r="F257" s="67"/>
      <c r="G257" s="67"/>
      <c r="H257" s="67"/>
      <c r="I257" s="67"/>
      <c r="J257" s="67"/>
      <c r="K257" s="67"/>
    </row>
    <row r="258" spans="1:11" s="14" customFormat="1" ht="36.75" customHeight="1" x14ac:dyDescent="0.45">
      <c r="A258" s="15"/>
      <c r="B258" s="67" t="s">
        <v>5</v>
      </c>
      <c r="C258" s="67"/>
      <c r="D258" s="67"/>
      <c r="E258" s="67"/>
      <c r="F258" s="67"/>
      <c r="G258" s="67"/>
      <c r="H258" s="67"/>
      <c r="I258" s="67"/>
      <c r="J258" s="67"/>
      <c r="K258" s="67"/>
    </row>
    <row r="259" spans="1:11" s="14" customFormat="1" ht="31.5" customHeight="1" x14ac:dyDescent="0.4">
      <c r="B259" s="68" t="s">
        <v>22</v>
      </c>
      <c r="C259" s="69"/>
      <c r="D259" s="69"/>
      <c r="E259" s="69"/>
      <c r="F259" s="49" t="s">
        <v>24</v>
      </c>
      <c r="G259" s="70" t="s">
        <v>25</v>
      </c>
      <c r="H259" s="72" t="s">
        <v>27</v>
      </c>
      <c r="I259" s="75" t="s">
        <v>66</v>
      </c>
      <c r="J259" s="76"/>
      <c r="K259" s="76" t="s">
        <v>29</v>
      </c>
    </row>
    <row r="260" spans="1:11" s="14" customFormat="1" ht="31.5" customHeight="1" x14ac:dyDescent="0.4">
      <c r="B260" s="68" t="s">
        <v>76</v>
      </c>
      <c r="C260" s="79"/>
      <c r="D260" s="26" t="s">
        <v>77</v>
      </c>
      <c r="E260" s="27" t="s">
        <v>77</v>
      </c>
      <c r="F260" s="28" t="s">
        <v>23</v>
      </c>
      <c r="G260" s="71"/>
      <c r="H260" s="73"/>
      <c r="I260" s="75"/>
      <c r="J260" s="77"/>
      <c r="K260" s="77"/>
    </row>
    <row r="261" spans="1:11" s="14" customFormat="1" ht="31.5" customHeight="1" x14ac:dyDescent="0.4">
      <c r="B261" s="80">
        <v>0.05</v>
      </c>
      <c r="C261" s="80">
        <v>0.05</v>
      </c>
      <c r="D261" s="80">
        <v>0.1</v>
      </c>
      <c r="E261" s="80">
        <v>0.1</v>
      </c>
      <c r="F261" s="90">
        <v>0.7</v>
      </c>
      <c r="G261" s="53" t="s">
        <v>26</v>
      </c>
      <c r="H261" s="74"/>
      <c r="I261" s="70"/>
      <c r="J261" s="77"/>
      <c r="K261" s="77"/>
    </row>
    <row r="262" spans="1:11" s="14" customFormat="1" ht="31.5" customHeight="1" x14ac:dyDescent="0.4">
      <c r="A262" s="23" t="s">
        <v>4</v>
      </c>
      <c r="B262" s="81"/>
      <c r="C262" s="81"/>
      <c r="D262" s="81"/>
      <c r="E262" s="81"/>
      <c r="F262" s="91"/>
      <c r="G262" s="29">
        <v>1</v>
      </c>
      <c r="H262" s="28" t="s">
        <v>28</v>
      </c>
      <c r="I262" s="43" t="s">
        <v>65</v>
      </c>
      <c r="J262" s="48" t="s">
        <v>67</v>
      </c>
      <c r="K262" s="78"/>
    </row>
    <row r="263" spans="1:11" s="3" customFormat="1" ht="41.25" customHeight="1" x14ac:dyDescent="0.4">
      <c r="A263" s="57" t="s">
        <v>6</v>
      </c>
      <c r="B263" s="33">
        <v>9</v>
      </c>
      <c r="C263" s="33">
        <v>10</v>
      </c>
      <c r="D263" s="33">
        <v>18</v>
      </c>
      <c r="E263" s="33">
        <v>18</v>
      </c>
      <c r="F263" s="33">
        <v>29</v>
      </c>
      <c r="G263" s="31">
        <f t="shared" ref="G263:G272" si="12">SUM(B263:F263)</f>
        <v>84</v>
      </c>
      <c r="H263" s="38">
        <v>59</v>
      </c>
      <c r="I263" s="31" t="s">
        <v>111</v>
      </c>
      <c r="J263" s="33" t="str">
        <f>IF(G263&gt;=70,"A",IF(G263&gt;=60,"B",IF(G263&gt;=50,"C",IF(G263&gt;=45,"D",IF(G263&gt;=40,"E",IF(G263&lt;=39,"F"))))))</f>
        <v>A</v>
      </c>
      <c r="K263" s="34" t="str">
        <f>IF(G263&gt;=70,"EXCELLENT",IF(G263&gt;=60,"V.GOOD",IF(G263&gt;=50,"GOOD",IF(G263&gt;=45,"PASS",IF(G263&gt;=40,"FAIR",IF(G263&lt;=39,"FAIL"))))))</f>
        <v>EXCELLENT</v>
      </c>
    </row>
    <row r="264" spans="1:11" s="3" customFormat="1" ht="41.25" customHeight="1" x14ac:dyDescent="0.4">
      <c r="A264" s="57" t="s">
        <v>7</v>
      </c>
      <c r="B264" s="33">
        <v>10</v>
      </c>
      <c r="C264" s="33">
        <v>10</v>
      </c>
      <c r="D264" s="33">
        <v>20</v>
      </c>
      <c r="E264" s="33">
        <v>20</v>
      </c>
      <c r="F264" s="33">
        <v>33</v>
      </c>
      <c r="G264" s="33">
        <f t="shared" si="12"/>
        <v>93</v>
      </c>
      <c r="H264" s="39">
        <v>60.8</v>
      </c>
      <c r="I264" s="33" t="s">
        <v>111</v>
      </c>
      <c r="J264" s="33" t="str">
        <f t="shared" ref="J264:J272" si="13">IF(G264&gt;=70,"A",IF(G264&gt;=60,"B",IF(G264&gt;=50,"C",IF(G264&gt;=45,"D",IF(G264&gt;=40,"E",IF(G264&lt;=39,"F"))))))</f>
        <v>A</v>
      </c>
      <c r="K264" s="34" t="str">
        <f t="shared" ref="K264:K272" si="14">IF(G264&gt;=70,"EXCELLENT",IF(G264&gt;=60,"V.GOOD",IF(G264&gt;=50,"GOOD",IF(G264&gt;=45,"PASS",IF(G264&gt;=40,"FAIR",IF(G264&lt;=39,"FAIL"))))))</f>
        <v>EXCELLENT</v>
      </c>
    </row>
    <row r="265" spans="1:11" s="3" customFormat="1" ht="41.25" customHeight="1" x14ac:dyDescent="0.4">
      <c r="A265" s="57" t="s">
        <v>173</v>
      </c>
      <c r="B265" s="33">
        <v>6</v>
      </c>
      <c r="C265" s="33">
        <v>4</v>
      </c>
      <c r="D265" s="33">
        <v>14</v>
      </c>
      <c r="E265" s="33">
        <v>12</v>
      </c>
      <c r="F265" s="33">
        <v>24</v>
      </c>
      <c r="G265" s="33">
        <f t="shared" si="12"/>
        <v>60</v>
      </c>
      <c r="H265" s="39">
        <v>57.6</v>
      </c>
      <c r="I265" s="31" t="s">
        <v>112</v>
      </c>
      <c r="J265" s="33" t="str">
        <f t="shared" si="13"/>
        <v>B</v>
      </c>
      <c r="K265" s="34" t="str">
        <f t="shared" si="14"/>
        <v>V.GOOD</v>
      </c>
    </row>
    <row r="266" spans="1:11" s="3" customFormat="1" ht="41.25" customHeight="1" x14ac:dyDescent="0.4">
      <c r="A266" s="57" t="s">
        <v>13</v>
      </c>
      <c r="B266" s="33">
        <v>10</v>
      </c>
      <c r="C266" s="33">
        <v>10</v>
      </c>
      <c r="D266" s="33">
        <v>14</v>
      </c>
      <c r="E266" s="33">
        <v>14</v>
      </c>
      <c r="F266" s="33">
        <v>15</v>
      </c>
      <c r="G266" s="33">
        <f t="shared" si="12"/>
        <v>63</v>
      </c>
      <c r="H266" s="39">
        <v>61</v>
      </c>
      <c r="I266" s="31" t="s">
        <v>112</v>
      </c>
      <c r="J266" s="33" t="str">
        <f t="shared" si="13"/>
        <v>B</v>
      </c>
      <c r="K266" s="34" t="str">
        <f t="shared" si="14"/>
        <v>V.GOOD</v>
      </c>
    </row>
    <row r="267" spans="1:11" s="3" customFormat="1" ht="41.25" customHeight="1" x14ac:dyDescent="0.4">
      <c r="A267" s="57" t="s">
        <v>155</v>
      </c>
      <c r="B267" s="33">
        <v>10</v>
      </c>
      <c r="C267" s="33">
        <v>10</v>
      </c>
      <c r="D267" s="33">
        <v>16</v>
      </c>
      <c r="E267" s="33">
        <v>12</v>
      </c>
      <c r="F267" s="33">
        <v>25</v>
      </c>
      <c r="G267" s="33">
        <f t="shared" si="12"/>
        <v>73</v>
      </c>
      <c r="H267" s="39">
        <v>54.8</v>
      </c>
      <c r="I267" s="33" t="s">
        <v>111</v>
      </c>
      <c r="J267" s="33" t="str">
        <f t="shared" si="13"/>
        <v>A</v>
      </c>
      <c r="K267" s="34" t="str">
        <f t="shared" si="14"/>
        <v>EXCELLENT</v>
      </c>
    </row>
    <row r="268" spans="1:11" s="3" customFormat="1" ht="41.25" customHeight="1" x14ac:dyDescent="0.4">
      <c r="A268" s="57" t="s">
        <v>156</v>
      </c>
      <c r="B268" s="33">
        <v>7</v>
      </c>
      <c r="C268" s="33">
        <v>9</v>
      </c>
      <c r="D268" s="33">
        <v>12</v>
      </c>
      <c r="E268" s="33">
        <v>14</v>
      </c>
      <c r="F268" s="33">
        <v>31</v>
      </c>
      <c r="G268" s="33">
        <f t="shared" si="12"/>
        <v>73</v>
      </c>
      <c r="H268" s="39">
        <v>62.5</v>
      </c>
      <c r="I268" s="31" t="s">
        <v>112</v>
      </c>
      <c r="J268" s="33" t="str">
        <f t="shared" si="13"/>
        <v>A</v>
      </c>
      <c r="K268" s="34" t="str">
        <f t="shared" si="14"/>
        <v>EXCELLENT</v>
      </c>
    </row>
    <row r="269" spans="1:11" s="3" customFormat="1" ht="41.25" customHeight="1" x14ac:dyDescent="0.4">
      <c r="A269" s="57" t="s">
        <v>157</v>
      </c>
      <c r="B269" s="33">
        <v>9</v>
      </c>
      <c r="C269" s="33">
        <v>10</v>
      </c>
      <c r="D269" s="33">
        <v>18</v>
      </c>
      <c r="E269" s="33">
        <v>18</v>
      </c>
      <c r="F269" s="33">
        <v>23</v>
      </c>
      <c r="G269" s="33">
        <f t="shared" si="12"/>
        <v>78</v>
      </c>
      <c r="H269" s="39">
        <v>61.8</v>
      </c>
      <c r="I269" s="31" t="s">
        <v>112</v>
      </c>
      <c r="J269" s="33" t="str">
        <f t="shared" si="13"/>
        <v>A</v>
      </c>
      <c r="K269" s="34" t="str">
        <f t="shared" si="14"/>
        <v>EXCELLENT</v>
      </c>
    </row>
    <row r="270" spans="1:11" s="3" customFormat="1" ht="41.25" customHeight="1" x14ac:dyDescent="0.4">
      <c r="A270" s="57" t="s">
        <v>174</v>
      </c>
      <c r="B270" s="33">
        <v>8</v>
      </c>
      <c r="C270" s="33">
        <v>8</v>
      </c>
      <c r="D270" s="33">
        <v>18</v>
      </c>
      <c r="E270" s="33">
        <v>20</v>
      </c>
      <c r="F270" s="33">
        <v>39</v>
      </c>
      <c r="G270" s="33">
        <f t="shared" si="12"/>
        <v>93</v>
      </c>
      <c r="H270" s="39">
        <v>68.2</v>
      </c>
      <c r="I270" s="33" t="s">
        <v>111</v>
      </c>
      <c r="J270" s="33" t="str">
        <f t="shared" si="13"/>
        <v>A</v>
      </c>
      <c r="K270" s="34" t="str">
        <f t="shared" si="14"/>
        <v>EXCELLENT</v>
      </c>
    </row>
    <row r="271" spans="1:11" s="3" customFormat="1" ht="41.25" customHeight="1" x14ac:dyDescent="0.4">
      <c r="A271" s="57" t="s">
        <v>158</v>
      </c>
      <c r="B271" s="33">
        <v>10</v>
      </c>
      <c r="C271" s="33">
        <v>10</v>
      </c>
      <c r="D271" s="33">
        <v>20</v>
      </c>
      <c r="E271" s="33">
        <v>18</v>
      </c>
      <c r="F271" s="33">
        <v>37</v>
      </c>
      <c r="G271" s="33">
        <f t="shared" si="12"/>
        <v>95</v>
      </c>
      <c r="H271" s="39">
        <v>82.4</v>
      </c>
      <c r="I271" s="31" t="s">
        <v>111</v>
      </c>
      <c r="J271" s="33" t="str">
        <f t="shared" si="13"/>
        <v>A</v>
      </c>
      <c r="K271" s="34" t="str">
        <f t="shared" si="14"/>
        <v>EXCELLENT</v>
      </c>
    </row>
    <row r="272" spans="1:11" s="3" customFormat="1" ht="41.25" customHeight="1" x14ac:dyDescent="0.4">
      <c r="A272" s="57" t="s">
        <v>175</v>
      </c>
      <c r="B272" s="33">
        <v>8</v>
      </c>
      <c r="C272" s="33">
        <v>8</v>
      </c>
      <c r="D272" s="33">
        <v>15</v>
      </c>
      <c r="E272" s="33">
        <v>15</v>
      </c>
      <c r="F272" s="33">
        <v>35</v>
      </c>
      <c r="G272" s="33">
        <f t="shared" si="12"/>
        <v>81</v>
      </c>
      <c r="H272" s="39">
        <v>70.8</v>
      </c>
      <c r="I272" s="31" t="s">
        <v>111</v>
      </c>
      <c r="J272" s="33" t="str">
        <f t="shared" si="13"/>
        <v>A</v>
      </c>
      <c r="K272" s="34" t="str">
        <f t="shared" si="14"/>
        <v>EXCELLENT</v>
      </c>
    </row>
    <row r="273" spans="1:11" s="3" customFormat="1" ht="41.25" customHeight="1" x14ac:dyDescent="0.4">
      <c r="A273" s="58"/>
      <c r="B273" s="33"/>
      <c r="C273" s="33"/>
      <c r="D273" s="33"/>
      <c r="E273" s="33"/>
      <c r="F273" s="33"/>
      <c r="G273" s="33"/>
      <c r="H273" s="39"/>
      <c r="I273" s="33"/>
      <c r="J273" s="33"/>
      <c r="K273" s="34"/>
    </row>
    <row r="274" spans="1:11" s="3" customFormat="1" ht="41.25" customHeight="1" x14ac:dyDescent="0.4">
      <c r="A274" s="58"/>
      <c r="B274" s="33"/>
      <c r="C274" s="33"/>
      <c r="D274" s="33"/>
      <c r="E274" s="33"/>
      <c r="F274" s="33"/>
      <c r="G274" s="33"/>
      <c r="H274" s="39"/>
      <c r="I274" s="31"/>
      <c r="J274" s="33"/>
      <c r="K274" s="34"/>
    </row>
    <row r="275" spans="1:11" s="3" customFormat="1" ht="41.25" customHeight="1" x14ac:dyDescent="0.4">
      <c r="A275" s="58"/>
      <c r="B275" s="33"/>
      <c r="C275" s="33"/>
      <c r="D275" s="33"/>
      <c r="E275" s="33"/>
      <c r="F275" s="33"/>
      <c r="G275" s="33"/>
      <c r="H275" s="39"/>
      <c r="I275" s="31"/>
      <c r="J275" s="33"/>
      <c r="K275" s="34"/>
    </row>
    <row r="276" spans="1:11" s="3" customFormat="1" ht="41.25" customHeight="1" x14ac:dyDescent="0.4">
      <c r="A276" s="58"/>
      <c r="B276" s="33"/>
      <c r="C276" s="33"/>
      <c r="D276" s="33"/>
      <c r="E276" s="33"/>
      <c r="F276" s="33"/>
      <c r="G276" s="33"/>
      <c r="H276" s="39"/>
      <c r="I276" s="33"/>
      <c r="J276" s="33"/>
      <c r="K276" s="34"/>
    </row>
    <row r="277" spans="1:11" s="3" customFormat="1" ht="41.25" customHeight="1" x14ac:dyDescent="0.4">
      <c r="A277" s="58"/>
      <c r="B277" s="33"/>
      <c r="C277" s="33"/>
      <c r="D277" s="33"/>
      <c r="E277" s="33"/>
      <c r="F277" s="33"/>
      <c r="G277" s="33"/>
      <c r="H277" s="39"/>
      <c r="I277" s="31"/>
      <c r="J277" s="33"/>
      <c r="K277" s="34"/>
    </row>
    <row r="278" spans="1:11" s="3" customFormat="1" ht="41.25" customHeight="1" x14ac:dyDescent="0.4">
      <c r="A278" s="58"/>
      <c r="B278" s="33"/>
      <c r="C278" s="33"/>
      <c r="D278" s="33"/>
      <c r="E278" s="33"/>
      <c r="F278" s="33"/>
      <c r="G278" s="33"/>
      <c r="H278" s="39"/>
      <c r="I278" s="31"/>
      <c r="J278" s="33"/>
      <c r="K278" s="34"/>
    </row>
    <row r="279" spans="1:11" s="3" customFormat="1" ht="41.25" customHeight="1" x14ac:dyDescent="0.4">
      <c r="A279" s="58"/>
      <c r="B279" s="33"/>
      <c r="C279" s="33"/>
      <c r="D279" s="33"/>
      <c r="E279" s="33"/>
      <c r="F279" s="33"/>
      <c r="G279" s="33"/>
      <c r="H279" s="39"/>
      <c r="I279" s="33"/>
      <c r="J279" s="33"/>
      <c r="K279" s="34"/>
    </row>
    <row r="280" spans="1:11" s="3" customFormat="1" ht="41.25" customHeight="1" x14ac:dyDescent="0.4">
      <c r="A280" s="4"/>
      <c r="B280" s="33"/>
      <c r="C280" s="33"/>
      <c r="D280" s="33"/>
      <c r="E280" s="33"/>
      <c r="F280" s="33"/>
      <c r="G280" s="33"/>
      <c r="H280" s="25"/>
      <c r="I280" s="25"/>
      <c r="J280" s="25"/>
      <c r="K280" s="35"/>
    </row>
    <row r="281" spans="1:11" s="3" customFormat="1" ht="41.25" customHeight="1" x14ac:dyDescent="0.4">
      <c r="A281" s="4"/>
      <c r="B281" s="33"/>
      <c r="C281" s="33"/>
      <c r="D281" s="33"/>
      <c r="E281" s="33"/>
      <c r="F281" s="33"/>
      <c r="G281" s="33"/>
      <c r="H281" s="25"/>
      <c r="I281" s="25"/>
      <c r="J281" s="25"/>
      <c r="K281" s="35"/>
    </row>
    <row r="282" spans="1:11" s="3" customFormat="1" ht="31.5" customHeight="1" x14ac:dyDescent="0.35">
      <c r="A282" s="5"/>
    </row>
    <row r="283" spans="1:11" s="3" customFormat="1" ht="31.5" customHeight="1" x14ac:dyDescent="0.45">
      <c r="A283" s="56" t="s">
        <v>58</v>
      </c>
      <c r="B283" s="36">
        <f>SUM(G263:G279)</f>
        <v>793</v>
      </c>
      <c r="C283" s="22"/>
      <c r="D283" s="22"/>
      <c r="E283" s="37"/>
      <c r="F283" s="83" t="s">
        <v>49</v>
      </c>
      <c r="G283" s="83"/>
      <c r="H283" s="93">
        <f>B283</f>
        <v>793</v>
      </c>
      <c r="I283" s="93"/>
      <c r="J283" s="92" t="s">
        <v>50</v>
      </c>
      <c r="K283" s="82">
        <f>H283/17</f>
        <v>46.647058823529413</v>
      </c>
    </row>
    <row r="284" spans="1:11" s="3" customFormat="1" ht="31.5" customHeight="1" x14ac:dyDescent="0.45">
      <c r="A284" s="37"/>
      <c r="B284" s="22"/>
      <c r="C284" s="22"/>
      <c r="D284" s="22"/>
      <c r="E284" s="37"/>
      <c r="F284" s="37"/>
      <c r="G284" s="37"/>
      <c r="H284" s="83">
        <v>17</v>
      </c>
      <c r="I284" s="83"/>
      <c r="J284" s="92"/>
      <c r="K284" s="82"/>
    </row>
    <row r="285" spans="1:11" s="3" customFormat="1" ht="31.5" customHeight="1" x14ac:dyDescent="0.35">
      <c r="A285" s="5"/>
      <c r="E285" s="5"/>
      <c r="F285" s="5"/>
      <c r="G285" s="5"/>
      <c r="H285" s="8"/>
      <c r="I285" s="8"/>
      <c r="J285" s="12"/>
      <c r="K285" s="13"/>
    </row>
    <row r="286" spans="1:11" s="3" customFormat="1" ht="33.75" customHeight="1" x14ac:dyDescent="0.35">
      <c r="A286" s="5"/>
      <c r="D286" s="84" t="s">
        <v>30</v>
      </c>
      <c r="E286" s="84"/>
      <c r="F286" s="84"/>
      <c r="G286" s="84"/>
      <c r="H286" s="84"/>
    </row>
    <row r="287" spans="1:11" s="3" customFormat="1" ht="33.75" customHeight="1" x14ac:dyDescent="0.35">
      <c r="A287" s="85" t="s">
        <v>31</v>
      </c>
      <c r="B287" s="86"/>
      <c r="C287" s="87"/>
      <c r="D287" s="41" t="s">
        <v>44</v>
      </c>
      <c r="E287" s="41" t="s">
        <v>45</v>
      </c>
      <c r="F287" s="41" t="s">
        <v>46</v>
      </c>
      <c r="G287" s="41" t="s">
        <v>47</v>
      </c>
      <c r="H287" s="41" t="s">
        <v>48</v>
      </c>
      <c r="I287" s="9"/>
      <c r="J287" s="11" t="s">
        <v>51</v>
      </c>
      <c r="K287" s="5"/>
    </row>
    <row r="288" spans="1:11" s="3" customFormat="1" ht="33.75" customHeight="1" x14ac:dyDescent="0.35">
      <c r="A288" s="88" t="s">
        <v>32</v>
      </c>
      <c r="B288" s="88"/>
      <c r="C288" s="88"/>
      <c r="D288" s="45" t="s">
        <v>124</v>
      </c>
      <c r="E288" s="7"/>
      <c r="F288" s="7"/>
      <c r="G288" s="7"/>
      <c r="H288" s="7"/>
      <c r="I288" s="9"/>
      <c r="J288" s="5" t="s">
        <v>52</v>
      </c>
      <c r="K288" s="5"/>
    </row>
    <row r="289" spans="1:11" s="3" customFormat="1" ht="33.75" customHeight="1" x14ac:dyDescent="0.35">
      <c r="A289" s="88" t="s">
        <v>33</v>
      </c>
      <c r="B289" s="88"/>
      <c r="C289" s="88"/>
      <c r="D289" s="45" t="s">
        <v>124</v>
      </c>
      <c r="E289" s="7"/>
      <c r="F289" s="7"/>
      <c r="G289" s="7"/>
      <c r="H289" s="7"/>
      <c r="I289" s="9"/>
      <c r="J289" s="5" t="s">
        <v>53</v>
      </c>
      <c r="K289" s="5"/>
    </row>
    <row r="290" spans="1:11" s="3" customFormat="1" ht="33.75" customHeight="1" x14ac:dyDescent="0.35">
      <c r="A290" s="88" t="s">
        <v>34</v>
      </c>
      <c r="B290" s="88"/>
      <c r="C290" s="88"/>
      <c r="D290" s="45" t="s">
        <v>124</v>
      </c>
      <c r="E290" s="7"/>
      <c r="F290" s="7"/>
      <c r="G290" s="7"/>
      <c r="H290" s="7"/>
      <c r="I290" s="9"/>
      <c r="J290" s="5" t="s">
        <v>54</v>
      </c>
      <c r="K290" s="5"/>
    </row>
    <row r="291" spans="1:11" s="3" customFormat="1" ht="33.75" customHeight="1" x14ac:dyDescent="0.35">
      <c r="A291" s="88" t="s">
        <v>35</v>
      </c>
      <c r="B291" s="88"/>
      <c r="C291" s="88"/>
      <c r="D291" s="45" t="s">
        <v>124</v>
      </c>
      <c r="E291" s="7"/>
      <c r="F291" s="7"/>
      <c r="G291" s="7"/>
      <c r="H291" s="7"/>
      <c r="I291" s="9"/>
      <c r="J291" s="5" t="s">
        <v>55</v>
      </c>
      <c r="K291" s="5"/>
    </row>
    <row r="292" spans="1:11" s="3" customFormat="1" ht="33.75" customHeight="1" x14ac:dyDescent="0.35">
      <c r="A292" s="88" t="s">
        <v>36</v>
      </c>
      <c r="B292" s="88"/>
      <c r="C292" s="88"/>
      <c r="D292" s="45" t="s">
        <v>124</v>
      </c>
      <c r="E292" s="7"/>
      <c r="F292" s="7"/>
      <c r="G292" s="7"/>
      <c r="H292" s="7"/>
      <c r="I292" s="9"/>
      <c r="J292" s="5" t="s">
        <v>56</v>
      </c>
      <c r="K292" s="5"/>
    </row>
    <row r="293" spans="1:11" s="3" customFormat="1" ht="33.75" customHeight="1" x14ac:dyDescent="0.35">
      <c r="A293" s="88" t="s">
        <v>37</v>
      </c>
      <c r="B293" s="88"/>
      <c r="C293" s="88"/>
      <c r="D293" s="45" t="s">
        <v>124</v>
      </c>
      <c r="E293" s="7"/>
      <c r="F293" s="7"/>
      <c r="G293" s="7"/>
      <c r="H293" s="7"/>
      <c r="I293" s="9"/>
      <c r="J293" s="5" t="s">
        <v>57</v>
      </c>
      <c r="K293" s="5"/>
    </row>
    <row r="294" spans="1:11" s="3" customFormat="1" ht="33.75" customHeight="1" x14ac:dyDescent="0.35">
      <c r="A294" s="88" t="s">
        <v>38</v>
      </c>
      <c r="B294" s="88"/>
      <c r="C294" s="88"/>
      <c r="D294" s="45" t="s">
        <v>124</v>
      </c>
      <c r="E294" s="7"/>
      <c r="F294" s="7"/>
      <c r="G294" s="7"/>
      <c r="H294" s="7"/>
      <c r="I294" s="9"/>
    </row>
    <row r="295" spans="1:11" s="3" customFormat="1" ht="33.75" customHeight="1" x14ac:dyDescent="0.35">
      <c r="A295" s="88" t="s">
        <v>39</v>
      </c>
      <c r="B295" s="88"/>
      <c r="C295" s="88"/>
      <c r="D295" s="45" t="s">
        <v>124</v>
      </c>
      <c r="E295" s="7"/>
      <c r="F295" s="7"/>
      <c r="G295" s="7"/>
      <c r="H295" s="7"/>
      <c r="I295" s="9"/>
    </row>
    <row r="296" spans="1:11" s="3" customFormat="1" ht="33.75" customHeight="1" x14ac:dyDescent="0.35">
      <c r="A296" s="88" t="s">
        <v>40</v>
      </c>
      <c r="B296" s="88"/>
      <c r="C296" s="88"/>
      <c r="D296" s="45" t="s">
        <v>124</v>
      </c>
      <c r="E296" s="7"/>
      <c r="F296" s="7"/>
      <c r="G296" s="7"/>
      <c r="H296" s="7"/>
      <c r="I296" s="9"/>
    </row>
    <row r="297" spans="1:11" s="3" customFormat="1" ht="33.75" customHeight="1" x14ac:dyDescent="0.35">
      <c r="A297" s="88" t="s">
        <v>41</v>
      </c>
      <c r="B297" s="88"/>
      <c r="C297" s="88"/>
      <c r="D297" s="45" t="s">
        <v>124</v>
      </c>
      <c r="E297" s="7"/>
      <c r="F297" s="7"/>
      <c r="G297" s="7"/>
      <c r="H297" s="7"/>
      <c r="I297" s="9"/>
    </row>
    <row r="298" spans="1:11" s="3" customFormat="1" ht="33.75" customHeight="1" x14ac:dyDescent="0.35">
      <c r="A298" s="88" t="s">
        <v>42</v>
      </c>
      <c r="B298" s="88"/>
      <c r="C298" s="88"/>
      <c r="D298" s="7"/>
      <c r="E298" s="45" t="s">
        <v>124</v>
      </c>
      <c r="F298" s="7"/>
      <c r="G298" s="7"/>
      <c r="H298" s="7"/>
      <c r="I298" s="9"/>
    </row>
    <row r="299" spans="1:11" s="3" customFormat="1" ht="33.75" customHeight="1" x14ac:dyDescent="0.35">
      <c r="A299" s="88" t="s">
        <v>43</v>
      </c>
      <c r="B299" s="88"/>
      <c r="C299" s="88"/>
      <c r="D299" s="45" t="s">
        <v>124</v>
      </c>
      <c r="E299" s="7"/>
      <c r="F299" s="7"/>
      <c r="G299" s="7"/>
      <c r="H299" s="7"/>
      <c r="I299" s="9"/>
    </row>
    <row r="300" spans="1:11" ht="52.5" customHeight="1" x14ac:dyDescent="0.25"/>
    <row r="301" spans="1:11" s="15" customFormat="1" ht="31.5" customHeight="1" x14ac:dyDescent="0.4">
      <c r="A301" s="17" t="s">
        <v>78</v>
      </c>
      <c r="B301" s="17"/>
      <c r="C301" s="94" t="s">
        <v>127</v>
      </c>
      <c r="D301" s="94"/>
      <c r="E301" s="94"/>
      <c r="F301" s="94"/>
      <c r="G301" s="94"/>
      <c r="H301" s="94"/>
      <c r="I301" s="94"/>
      <c r="J301" s="94"/>
      <c r="K301" s="16"/>
    </row>
    <row r="302" spans="1:11" s="15" customFormat="1" ht="42.75" customHeight="1" x14ac:dyDescent="0.4">
      <c r="A302" s="17" t="s">
        <v>80</v>
      </c>
      <c r="B302" s="17"/>
      <c r="C302" s="95" t="s">
        <v>107</v>
      </c>
      <c r="D302" s="95"/>
      <c r="E302" s="95"/>
      <c r="F302" s="95"/>
      <c r="G302" s="95"/>
      <c r="H302" s="95"/>
      <c r="I302" s="16"/>
      <c r="J302" s="16"/>
      <c r="K302" s="16"/>
    </row>
    <row r="303" spans="1:11" s="15" customFormat="1" ht="31.5" customHeight="1" x14ac:dyDescent="0.4">
      <c r="A303" s="17"/>
      <c r="B303" s="17"/>
      <c r="C303" s="18"/>
      <c r="D303" s="18"/>
      <c r="E303" s="18"/>
      <c r="F303" s="18"/>
      <c r="G303" s="18"/>
      <c r="H303" s="18"/>
      <c r="I303" s="16"/>
      <c r="J303" s="16"/>
      <c r="K303" s="16"/>
    </row>
    <row r="304" spans="1:11" s="15" customFormat="1" ht="31.5" customHeight="1" x14ac:dyDescent="0.4">
      <c r="A304" s="17" t="s">
        <v>81</v>
      </c>
      <c r="B304" s="17"/>
      <c r="C304" s="94" t="s">
        <v>79</v>
      </c>
      <c r="D304" s="94"/>
      <c r="E304" s="94"/>
      <c r="F304" s="94"/>
      <c r="G304" s="94"/>
      <c r="H304" s="94"/>
      <c r="I304" s="94"/>
      <c r="J304" s="94"/>
      <c r="K304" s="16"/>
    </row>
    <row r="305" spans="1:11" s="15" customFormat="1" ht="46.5" customHeight="1" x14ac:dyDescent="0.4">
      <c r="A305" s="17" t="s">
        <v>80</v>
      </c>
      <c r="B305" s="17"/>
      <c r="C305" s="95" t="s">
        <v>107</v>
      </c>
      <c r="D305" s="95"/>
      <c r="E305" s="95"/>
      <c r="F305" s="95"/>
      <c r="G305" s="95"/>
      <c r="H305" s="95"/>
      <c r="I305" s="16"/>
      <c r="J305" s="16"/>
      <c r="K305" s="16"/>
    </row>
    <row r="307" spans="1:11" ht="66" customHeight="1" x14ac:dyDescent="0.25">
      <c r="A307" s="62" t="s">
        <v>0</v>
      </c>
      <c r="B307" s="62"/>
      <c r="C307" s="62"/>
      <c r="D307" s="62"/>
      <c r="E307" s="62"/>
      <c r="F307" s="62"/>
      <c r="G307" s="62"/>
      <c r="H307" s="62"/>
      <c r="I307" s="62"/>
      <c r="J307" s="62"/>
      <c r="K307" s="62"/>
    </row>
    <row r="308" spans="1:11" ht="27.75" customHeight="1" x14ac:dyDescent="0.3">
      <c r="A308" s="63" t="s">
        <v>1</v>
      </c>
      <c r="B308" s="63"/>
      <c r="C308" s="63"/>
      <c r="D308" s="63"/>
      <c r="E308" s="63"/>
      <c r="F308" s="63"/>
      <c r="G308" s="63"/>
      <c r="H308" s="63"/>
      <c r="I308" s="63"/>
      <c r="J308" s="63"/>
      <c r="K308" s="63"/>
    </row>
    <row r="309" spans="1:11" ht="46.5" customHeight="1" x14ac:dyDescent="0.25">
      <c r="A309" s="64" t="s">
        <v>2</v>
      </c>
      <c r="B309" s="64"/>
      <c r="C309" s="64"/>
      <c r="D309" s="64"/>
      <c r="E309" s="64"/>
      <c r="F309" s="64"/>
      <c r="G309" s="64"/>
      <c r="H309" s="64"/>
      <c r="I309" s="64"/>
      <c r="J309" s="64"/>
      <c r="K309" s="64"/>
    </row>
    <row r="310" spans="1:11" ht="39" customHeight="1" x14ac:dyDescent="0.55000000000000004">
      <c r="A310" s="65" t="s">
        <v>144</v>
      </c>
      <c r="B310" s="65"/>
      <c r="C310" s="65"/>
      <c r="D310" s="65"/>
      <c r="E310" s="65"/>
      <c r="F310" s="65"/>
      <c r="G310" s="65"/>
      <c r="H310" s="65"/>
      <c r="I310" s="65"/>
      <c r="J310" s="65"/>
      <c r="K310" s="65"/>
    </row>
    <row r="311" spans="1:11" ht="31.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s="20" customFormat="1" ht="31.5" customHeight="1" x14ac:dyDescent="0.4">
      <c r="A312" s="19" t="s">
        <v>60</v>
      </c>
      <c r="B312" s="59" t="s">
        <v>172</v>
      </c>
      <c r="C312" s="59"/>
      <c r="D312" s="59"/>
      <c r="E312" s="59"/>
      <c r="F312" s="59"/>
      <c r="G312" s="19" t="s">
        <v>59</v>
      </c>
      <c r="H312" s="47" t="s">
        <v>163</v>
      </c>
      <c r="I312" s="19" t="s">
        <v>75</v>
      </c>
      <c r="J312" s="59" t="str">
        <f>J7</f>
        <v>SS 1</v>
      </c>
      <c r="K312" s="59"/>
    </row>
    <row r="313" spans="1:11" s="20" customFormat="1" ht="31.5" customHeight="1" x14ac:dyDescent="0.4">
      <c r="A313" s="19" t="s">
        <v>61</v>
      </c>
      <c r="B313" s="59" t="s">
        <v>84</v>
      </c>
      <c r="C313" s="59"/>
      <c r="D313" s="19" t="s">
        <v>68</v>
      </c>
      <c r="E313" s="59" t="s">
        <v>170</v>
      </c>
      <c r="F313" s="59"/>
      <c r="G313" s="59"/>
      <c r="H313" s="59"/>
      <c r="I313" s="19" t="s">
        <v>69</v>
      </c>
      <c r="J313" s="59" t="s">
        <v>90</v>
      </c>
      <c r="K313" s="59"/>
    </row>
    <row r="314" spans="1:11" s="20" customFormat="1" ht="35.25" customHeight="1" x14ac:dyDescent="0.4">
      <c r="A314" s="19" t="s">
        <v>63</v>
      </c>
      <c r="B314" s="47" t="str">
        <f>B9</f>
        <v>First Term 24/25 Session</v>
      </c>
      <c r="C314" s="47"/>
      <c r="D314" s="47"/>
      <c r="E314" s="55"/>
      <c r="F314" s="19" t="s">
        <v>62</v>
      </c>
      <c r="H314" s="47">
        <f>H9</f>
        <v>17</v>
      </c>
      <c r="I314" s="19" t="s">
        <v>70</v>
      </c>
      <c r="J314" s="59"/>
      <c r="K314" s="59"/>
    </row>
    <row r="315" spans="1:11" s="20" customFormat="1" ht="39" customHeight="1" x14ac:dyDescent="0.4">
      <c r="A315" s="19" t="s">
        <v>71</v>
      </c>
      <c r="B315" s="21" t="str">
        <f>B10</f>
        <v>25th March, 2025</v>
      </c>
      <c r="C315" s="21"/>
      <c r="D315" s="21"/>
      <c r="E315" s="21"/>
      <c r="F315" s="19" t="s">
        <v>73</v>
      </c>
      <c r="G315" s="19"/>
      <c r="H315" s="24" t="str">
        <f>H10</f>
        <v>28th April, 2025</v>
      </c>
      <c r="I315" s="21"/>
      <c r="J315" s="21"/>
      <c r="K315" s="21"/>
    </row>
    <row r="316" spans="1:11" s="20" customFormat="1" ht="39.75" customHeight="1" x14ac:dyDescent="0.4">
      <c r="A316" s="19" t="s">
        <v>72</v>
      </c>
      <c r="B316" s="21"/>
      <c r="C316" s="60"/>
      <c r="D316" s="60"/>
      <c r="E316" s="60"/>
      <c r="F316" s="19" t="s">
        <v>74</v>
      </c>
      <c r="G316" s="19"/>
      <c r="H316" s="61"/>
      <c r="I316" s="61"/>
      <c r="J316" s="61"/>
      <c r="K316" s="61"/>
    </row>
    <row r="317" spans="1:11" s="20" customFormat="1" ht="21" customHeight="1" x14ac:dyDescent="0.4">
      <c r="A317" s="19"/>
      <c r="B317" s="21"/>
      <c r="C317" s="51"/>
      <c r="D317" s="51"/>
      <c r="E317" s="51"/>
      <c r="F317" s="19"/>
      <c r="G317" s="19"/>
      <c r="H317" s="52"/>
      <c r="I317" s="52"/>
      <c r="J317" s="52"/>
      <c r="K317" s="52"/>
    </row>
    <row r="318" spans="1:11" s="20" customFormat="1" ht="34.5" x14ac:dyDescent="0.45">
      <c r="A318" s="19"/>
      <c r="B318" s="67" t="s">
        <v>164</v>
      </c>
      <c r="C318" s="67"/>
      <c r="D318" s="67"/>
      <c r="E318" s="67"/>
      <c r="F318" s="67"/>
      <c r="G318" s="67"/>
      <c r="H318" s="67"/>
      <c r="I318" s="67"/>
      <c r="J318" s="67"/>
      <c r="K318" s="67"/>
    </row>
    <row r="319" spans="1:11" s="14" customFormat="1" ht="36.75" customHeight="1" x14ac:dyDescent="0.45">
      <c r="A319" s="15"/>
      <c r="B319" s="67" t="s">
        <v>5</v>
      </c>
      <c r="C319" s="67"/>
      <c r="D319" s="67"/>
      <c r="E319" s="67"/>
      <c r="F319" s="67"/>
      <c r="G319" s="67"/>
      <c r="H319" s="67"/>
      <c r="I319" s="67"/>
      <c r="J319" s="67"/>
      <c r="K319" s="67"/>
    </row>
    <row r="320" spans="1:11" s="14" customFormat="1" ht="31.5" customHeight="1" x14ac:dyDescent="0.4">
      <c r="B320" s="68" t="s">
        <v>22</v>
      </c>
      <c r="C320" s="69"/>
      <c r="D320" s="69"/>
      <c r="E320" s="69"/>
      <c r="F320" s="49" t="s">
        <v>24</v>
      </c>
      <c r="G320" s="70" t="s">
        <v>25</v>
      </c>
      <c r="H320" s="72" t="s">
        <v>27</v>
      </c>
      <c r="I320" s="75" t="s">
        <v>66</v>
      </c>
      <c r="J320" s="76"/>
      <c r="K320" s="76" t="s">
        <v>29</v>
      </c>
    </row>
    <row r="321" spans="1:11" s="14" customFormat="1" ht="31.5" customHeight="1" x14ac:dyDescent="0.4">
      <c r="B321" s="68" t="s">
        <v>76</v>
      </c>
      <c r="C321" s="79"/>
      <c r="D321" s="26" t="s">
        <v>77</v>
      </c>
      <c r="E321" s="27" t="s">
        <v>77</v>
      </c>
      <c r="F321" s="28" t="s">
        <v>23</v>
      </c>
      <c r="G321" s="71"/>
      <c r="H321" s="73"/>
      <c r="I321" s="75"/>
      <c r="J321" s="77"/>
      <c r="K321" s="77"/>
    </row>
    <row r="322" spans="1:11" s="14" customFormat="1" ht="31.5" customHeight="1" x14ac:dyDescent="0.4">
      <c r="B322" s="80">
        <v>0.05</v>
      </c>
      <c r="C322" s="80">
        <v>0.05</v>
      </c>
      <c r="D322" s="80">
        <v>0.1</v>
      </c>
      <c r="E322" s="80">
        <v>0.1</v>
      </c>
      <c r="F322" s="90">
        <v>0.7</v>
      </c>
      <c r="G322" s="53" t="s">
        <v>26</v>
      </c>
      <c r="H322" s="74"/>
      <c r="I322" s="70"/>
      <c r="J322" s="77"/>
      <c r="K322" s="77"/>
    </row>
    <row r="323" spans="1:11" s="14" customFormat="1" ht="31.5" customHeight="1" x14ac:dyDescent="0.4">
      <c r="A323" s="23" t="s">
        <v>4</v>
      </c>
      <c r="B323" s="81"/>
      <c r="C323" s="81"/>
      <c r="D323" s="81"/>
      <c r="E323" s="81"/>
      <c r="F323" s="91"/>
      <c r="G323" s="29">
        <v>1</v>
      </c>
      <c r="H323" s="28" t="s">
        <v>28</v>
      </c>
      <c r="I323" s="43" t="s">
        <v>65</v>
      </c>
      <c r="J323" s="48" t="s">
        <v>67</v>
      </c>
      <c r="K323" s="78"/>
    </row>
    <row r="324" spans="1:11" s="3" customFormat="1" ht="41.25" customHeight="1" x14ac:dyDescent="0.4">
      <c r="A324" s="57" t="s">
        <v>6</v>
      </c>
      <c r="B324" s="33">
        <v>5</v>
      </c>
      <c r="C324" s="33">
        <v>8</v>
      </c>
      <c r="D324" s="33">
        <v>10</v>
      </c>
      <c r="E324" s="33">
        <v>8</v>
      </c>
      <c r="F324" s="33">
        <v>20</v>
      </c>
      <c r="G324" s="31">
        <f t="shared" ref="G324:G333" si="15">SUM(B324:F324)</f>
        <v>51</v>
      </c>
      <c r="H324" s="38">
        <v>60</v>
      </c>
      <c r="I324" s="31" t="s">
        <v>120</v>
      </c>
      <c r="J324" s="33" t="str">
        <f>IF(G324&gt;=70,"A",IF(G324&gt;=60,"B",IF(G324&gt;=50,"C",IF(G324&gt;=45,"D",IF(G324&gt;=40,"E",IF(G324&lt;=39,"F"))))))</f>
        <v>C</v>
      </c>
      <c r="K324" s="34" t="str">
        <f>IF(G324&gt;=70,"EXCELLENT",IF(G324&gt;=60,"V.GOOD",IF(G324&gt;=50,"GOOD",IF(G324&gt;=45,"PASS",IF(G324&gt;=40,"FAIR",IF(G324&lt;=39,"FAIL"))))))</f>
        <v>GOOD</v>
      </c>
    </row>
    <row r="325" spans="1:11" s="3" customFormat="1" ht="41.25" customHeight="1" x14ac:dyDescent="0.4">
      <c r="A325" s="57" t="s">
        <v>7</v>
      </c>
      <c r="B325" s="33">
        <v>8</v>
      </c>
      <c r="C325" s="33">
        <v>5</v>
      </c>
      <c r="D325" s="33">
        <v>7</v>
      </c>
      <c r="E325" s="33">
        <v>7</v>
      </c>
      <c r="F325" s="33">
        <v>10</v>
      </c>
      <c r="G325" s="33">
        <f t="shared" si="15"/>
        <v>37</v>
      </c>
      <c r="H325" s="39">
        <v>58.9</v>
      </c>
      <c r="I325" s="33" t="s">
        <v>122</v>
      </c>
      <c r="J325" s="33" t="str">
        <f t="shared" ref="J325:J333" si="16">IF(G325&gt;=70,"A",IF(G325&gt;=60,"B",IF(G325&gt;=50,"C",IF(G325&gt;=45,"D",IF(G325&gt;=40,"E",IF(G325&lt;=39,"F"))))))</f>
        <v>F</v>
      </c>
      <c r="K325" s="34" t="str">
        <f t="shared" ref="K325:K333" si="17">IF(G325&gt;=70,"EXCELLENT",IF(G325&gt;=60,"V.GOOD",IF(G325&gt;=50,"GOOD",IF(G325&gt;=45,"PASS",IF(G325&gt;=40,"FAIR",IF(G325&lt;=39,"FAIL"))))))</f>
        <v>FAIL</v>
      </c>
    </row>
    <row r="326" spans="1:11" s="3" customFormat="1" ht="41.25" customHeight="1" x14ac:dyDescent="0.4">
      <c r="A326" s="57" t="s">
        <v>173</v>
      </c>
      <c r="B326" s="33">
        <v>6</v>
      </c>
      <c r="C326" s="33">
        <v>6</v>
      </c>
      <c r="D326" s="33">
        <v>14</v>
      </c>
      <c r="E326" s="33">
        <v>10</v>
      </c>
      <c r="F326" s="33">
        <v>16</v>
      </c>
      <c r="G326" s="33">
        <f t="shared" si="15"/>
        <v>52</v>
      </c>
      <c r="H326" s="39">
        <v>51.8</v>
      </c>
      <c r="I326" s="33" t="s">
        <v>113</v>
      </c>
      <c r="J326" s="33" t="str">
        <f t="shared" si="16"/>
        <v>C</v>
      </c>
      <c r="K326" s="34" t="str">
        <f t="shared" si="17"/>
        <v>GOOD</v>
      </c>
    </row>
    <row r="327" spans="1:11" s="3" customFormat="1" ht="41.25" customHeight="1" x14ac:dyDescent="0.4">
      <c r="A327" s="57" t="s">
        <v>13</v>
      </c>
      <c r="B327" s="33">
        <v>10</v>
      </c>
      <c r="C327" s="33">
        <v>10</v>
      </c>
      <c r="D327" s="33">
        <v>10</v>
      </c>
      <c r="E327" s="33">
        <v>11</v>
      </c>
      <c r="F327" s="33">
        <v>20</v>
      </c>
      <c r="G327" s="33">
        <f t="shared" si="15"/>
        <v>61</v>
      </c>
      <c r="H327" s="39">
        <v>72.599999999999994</v>
      </c>
      <c r="I327" s="33" t="s">
        <v>123</v>
      </c>
      <c r="J327" s="33" t="str">
        <f t="shared" si="16"/>
        <v>B</v>
      </c>
      <c r="K327" s="34" t="str">
        <f t="shared" si="17"/>
        <v>V.GOOD</v>
      </c>
    </row>
    <row r="328" spans="1:11" s="3" customFormat="1" ht="41.25" customHeight="1" x14ac:dyDescent="0.4">
      <c r="A328" s="57" t="s">
        <v>155</v>
      </c>
      <c r="B328" s="33">
        <v>4</v>
      </c>
      <c r="C328" s="33">
        <v>5</v>
      </c>
      <c r="D328" s="33">
        <v>9</v>
      </c>
      <c r="E328" s="33">
        <v>12</v>
      </c>
      <c r="F328" s="33">
        <v>25</v>
      </c>
      <c r="G328" s="33">
        <f t="shared" si="15"/>
        <v>55</v>
      </c>
      <c r="H328" s="39">
        <v>71.400000000000006</v>
      </c>
      <c r="I328" s="33" t="s">
        <v>122</v>
      </c>
      <c r="J328" s="33" t="str">
        <f t="shared" si="16"/>
        <v>C</v>
      </c>
      <c r="K328" s="34" t="str">
        <f t="shared" si="17"/>
        <v>GOOD</v>
      </c>
    </row>
    <row r="329" spans="1:11" s="3" customFormat="1" ht="41.25" customHeight="1" x14ac:dyDescent="0.4">
      <c r="A329" s="57" t="s">
        <v>156</v>
      </c>
      <c r="B329" s="33">
        <v>5</v>
      </c>
      <c r="C329" s="33">
        <v>6</v>
      </c>
      <c r="D329" s="33">
        <v>10</v>
      </c>
      <c r="E329" s="33">
        <v>5</v>
      </c>
      <c r="F329" s="33">
        <v>20</v>
      </c>
      <c r="G329" s="33">
        <f t="shared" si="15"/>
        <v>46</v>
      </c>
      <c r="H329" s="39">
        <v>54.7</v>
      </c>
      <c r="I329" s="33" t="s">
        <v>119</v>
      </c>
      <c r="J329" s="33" t="str">
        <f t="shared" si="16"/>
        <v>D</v>
      </c>
      <c r="K329" s="34" t="str">
        <f t="shared" si="17"/>
        <v>PASS</v>
      </c>
    </row>
    <row r="330" spans="1:11" s="3" customFormat="1" ht="41.25" customHeight="1" x14ac:dyDescent="0.4">
      <c r="A330" s="57" t="s">
        <v>157</v>
      </c>
      <c r="B330" s="33">
        <v>10</v>
      </c>
      <c r="C330" s="33">
        <v>9</v>
      </c>
      <c r="D330" s="33">
        <v>11</v>
      </c>
      <c r="E330" s="33">
        <v>9</v>
      </c>
      <c r="F330" s="33">
        <v>23</v>
      </c>
      <c r="G330" s="33">
        <f t="shared" si="15"/>
        <v>62</v>
      </c>
      <c r="H330" s="39">
        <v>65.2</v>
      </c>
      <c r="I330" s="33" t="s">
        <v>117</v>
      </c>
      <c r="J330" s="33" t="str">
        <f t="shared" si="16"/>
        <v>B</v>
      </c>
      <c r="K330" s="34" t="str">
        <f t="shared" si="17"/>
        <v>V.GOOD</v>
      </c>
    </row>
    <row r="331" spans="1:11" s="3" customFormat="1" ht="41.25" customHeight="1" x14ac:dyDescent="0.4">
      <c r="A331" s="57" t="s">
        <v>174</v>
      </c>
      <c r="B331" s="33">
        <v>8</v>
      </c>
      <c r="C331" s="33">
        <v>9</v>
      </c>
      <c r="D331" s="33">
        <v>8</v>
      </c>
      <c r="E331" s="33">
        <v>12</v>
      </c>
      <c r="F331" s="33">
        <v>28</v>
      </c>
      <c r="G331" s="33">
        <f t="shared" si="15"/>
        <v>65</v>
      </c>
      <c r="H331" s="39">
        <v>71.25</v>
      </c>
      <c r="I331" s="33" t="s">
        <v>118</v>
      </c>
      <c r="J331" s="33" t="str">
        <f t="shared" si="16"/>
        <v>B</v>
      </c>
      <c r="K331" s="34" t="str">
        <f t="shared" si="17"/>
        <v>V.GOOD</v>
      </c>
    </row>
    <row r="332" spans="1:11" s="3" customFormat="1" ht="41.25" customHeight="1" x14ac:dyDescent="0.4">
      <c r="A332" s="57" t="s">
        <v>158</v>
      </c>
      <c r="B332" s="33">
        <v>10</v>
      </c>
      <c r="C332" s="33">
        <v>9</v>
      </c>
      <c r="D332" s="33">
        <v>17</v>
      </c>
      <c r="E332" s="33">
        <v>10</v>
      </c>
      <c r="F332" s="33">
        <v>33</v>
      </c>
      <c r="G332" s="33">
        <f t="shared" si="15"/>
        <v>79</v>
      </c>
      <c r="H332" s="39">
        <v>79.5</v>
      </c>
      <c r="I332" s="33" t="s">
        <v>118</v>
      </c>
      <c r="J332" s="33" t="str">
        <f t="shared" si="16"/>
        <v>A</v>
      </c>
      <c r="K332" s="34" t="str">
        <f t="shared" si="17"/>
        <v>EXCELLENT</v>
      </c>
    </row>
    <row r="333" spans="1:11" s="3" customFormat="1" ht="41.25" customHeight="1" x14ac:dyDescent="0.4">
      <c r="A333" s="57" t="s">
        <v>175</v>
      </c>
      <c r="B333" s="33">
        <v>7</v>
      </c>
      <c r="C333" s="33">
        <v>8</v>
      </c>
      <c r="D333" s="33">
        <v>15</v>
      </c>
      <c r="E333" s="33">
        <v>15</v>
      </c>
      <c r="F333" s="33">
        <v>10</v>
      </c>
      <c r="G333" s="33">
        <f t="shared" si="15"/>
        <v>55</v>
      </c>
      <c r="H333" s="39">
        <v>66.08</v>
      </c>
      <c r="I333" s="33" t="s">
        <v>122</v>
      </c>
      <c r="J333" s="33" t="str">
        <f t="shared" si="16"/>
        <v>C</v>
      </c>
      <c r="K333" s="34" t="str">
        <f t="shared" si="17"/>
        <v>GOOD</v>
      </c>
    </row>
    <row r="334" spans="1:11" s="3" customFormat="1" ht="41.25" customHeight="1" x14ac:dyDescent="0.4">
      <c r="A334" s="58"/>
      <c r="B334" s="33"/>
      <c r="C334" s="33"/>
      <c r="D334" s="33"/>
      <c r="E334" s="33"/>
      <c r="F334" s="33"/>
      <c r="G334" s="33"/>
      <c r="H334" s="39"/>
      <c r="I334" s="33"/>
      <c r="J334" s="33"/>
      <c r="K334" s="34"/>
    </row>
    <row r="335" spans="1:11" s="3" customFormat="1" ht="41.25" customHeight="1" x14ac:dyDescent="0.4">
      <c r="A335" s="58"/>
      <c r="B335" s="33"/>
      <c r="C335" s="33"/>
      <c r="D335" s="33"/>
      <c r="E335" s="33"/>
      <c r="F335" s="33"/>
      <c r="G335" s="33"/>
      <c r="H335" s="39"/>
      <c r="I335" s="33"/>
      <c r="J335" s="33"/>
      <c r="K335" s="34"/>
    </row>
    <row r="336" spans="1:11" s="3" customFormat="1" ht="41.25" customHeight="1" x14ac:dyDescent="0.4">
      <c r="A336" s="58"/>
      <c r="B336" s="33"/>
      <c r="C336" s="33"/>
      <c r="D336" s="33"/>
      <c r="E336" s="33"/>
      <c r="F336" s="33"/>
      <c r="G336" s="33"/>
      <c r="H336" s="39"/>
      <c r="I336" s="33"/>
      <c r="J336" s="33"/>
      <c r="K336" s="34"/>
    </row>
    <row r="337" spans="1:11" s="3" customFormat="1" ht="41.25" customHeight="1" x14ac:dyDescent="0.4">
      <c r="A337" s="58"/>
      <c r="B337" s="33"/>
      <c r="C337" s="33"/>
      <c r="D337" s="33"/>
      <c r="E337" s="33"/>
      <c r="F337" s="33"/>
      <c r="G337" s="33"/>
      <c r="H337" s="39"/>
      <c r="I337" s="33"/>
      <c r="J337" s="33"/>
      <c r="K337" s="34"/>
    </row>
    <row r="338" spans="1:11" s="3" customFormat="1" ht="41.25" customHeight="1" x14ac:dyDescent="0.4">
      <c r="A338" s="58"/>
      <c r="B338" s="33"/>
      <c r="C338" s="33"/>
      <c r="D338" s="33"/>
      <c r="E338" s="33"/>
      <c r="F338" s="33"/>
      <c r="G338" s="33"/>
      <c r="H338" s="39"/>
      <c r="I338" s="33"/>
      <c r="J338" s="33"/>
      <c r="K338" s="34"/>
    </row>
    <row r="339" spans="1:11" s="3" customFormat="1" ht="41.25" customHeight="1" x14ac:dyDescent="0.4">
      <c r="A339" s="58"/>
      <c r="B339" s="33"/>
      <c r="C339" s="33"/>
      <c r="D339" s="33"/>
      <c r="E339" s="33"/>
      <c r="F339" s="33"/>
      <c r="G339" s="33"/>
      <c r="H339" s="39"/>
      <c r="I339" s="33"/>
      <c r="J339" s="33"/>
      <c r="K339" s="34"/>
    </row>
    <row r="340" spans="1:11" s="3" customFormat="1" ht="41.25" customHeight="1" x14ac:dyDescent="0.4">
      <c r="A340" s="58"/>
      <c r="B340" s="33"/>
      <c r="C340" s="33"/>
      <c r="D340" s="33"/>
      <c r="E340" s="33"/>
      <c r="F340" s="33"/>
      <c r="G340" s="33"/>
      <c r="H340" s="39"/>
      <c r="I340" s="33"/>
      <c r="J340" s="33"/>
      <c r="K340" s="34"/>
    </row>
    <row r="341" spans="1:11" s="3" customFormat="1" ht="41.25" customHeight="1" x14ac:dyDescent="0.4">
      <c r="A341" s="4"/>
      <c r="B341" s="33"/>
      <c r="C341" s="33"/>
      <c r="D341" s="33"/>
      <c r="E341" s="33"/>
      <c r="F341" s="33"/>
      <c r="G341" s="33"/>
      <c r="H341" s="39"/>
      <c r="I341" s="33"/>
      <c r="J341" s="25"/>
      <c r="K341" s="35"/>
    </row>
    <row r="342" spans="1:11" s="3" customFormat="1" ht="41.25" customHeight="1" x14ac:dyDescent="0.4">
      <c r="A342" s="4"/>
      <c r="B342" s="33"/>
      <c r="C342" s="33"/>
      <c r="D342" s="33"/>
      <c r="E342" s="33"/>
      <c r="F342" s="33"/>
      <c r="G342" s="33"/>
      <c r="H342" s="39"/>
      <c r="I342" s="33"/>
      <c r="J342" s="25"/>
      <c r="K342" s="35"/>
    </row>
    <row r="343" spans="1:11" s="3" customFormat="1" ht="31.5" customHeight="1" x14ac:dyDescent="0.45">
      <c r="A343" s="37"/>
      <c r="B343" s="22"/>
      <c r="C343" s="22"/>
      <c r="D343" s="22"/>
      <c r="E343" s="22"/>
      <c r="F343" s="22"/>
      <c r="G343" s="22"/>
      <c r="H343" s="22"/>
      <c r="I343" s="22"/>
      <c r="J343" s="22"/>
      <c r="K343" s="22"/>
    </row>
    <row r="344" spans="1:11" s="3" customFormat="1" ht="31.5" customHeight="1" x14ac:dyDescent="0.45">
      <c r="A344" s="56" t="s">
        <v>58</v>
      </c>
      <c r="B344" s="36">
        <f>SUM(G324:G340)</f>
        <v>563</v>
      </c>
      <c r="C344" s="22"/>
      <c r="D344" s="22"/>
      <c r="E344" s="37"/>
      <c r="F344" s="83" t="s">
        <v>49</v>
      </c>
      <c r="G344" s="83"/>
      <c r="H344" s="93">
        <f>B344</f>
        <v>563</v>
      </c>
      <c r="I344" s="93"/>
      <c r="J344" s="92" t="s">
        <v>50</v>
      </c>
      <c r="K344" s="82">
        <f>H344/17</f>
        <v>33.117647058823529</v>
      </c>
    </row>
    <row r="345" spans="1:11" s="3" customFormat="1" ht="31.5" customHeight="1" x14ac:dyDescent="0.45">
      <c r="A345" s="37"/>
      <c r="B345" s="22"/>
      <c r="C345" s="22"/>
      <c r="D345" s="22"/>
      <c r="E345" s="37"/>
      <c r="F345" s="37"/>
      <c r="G345" s="37"/>
      <c r="H345" s="83">
        <v>17</v>
      </c>
      <c r="I345" s="83"/>
      <c r="J345" s="92"/>
      <c r="K345" s="82"/>
    </row>
    <row r="346" spans="1:11" s="3" customFormat="1" ht="31.5" customHeight="1" x14ac:dyDescent="0.35">
      <c r="A346" s="5"/>
      <c r="E346" s="5"/>
      <c r="F346" s="5"/>
      <c r="G346" s="5"/>
      <c r="H346" s="8"/>
      <c r="I346" s="8"/>
      <c r="J346" s="12"/>
      <c r="K346" s="13"/>
    </row>
    <row r="347" spans="1:11" s="3" customFormat="1" ht="33.75" customHeight="1" x14ac:dyDescent="0.35">
      <c r="A347" s="5"/>
      <c r="D347" s="84" t="s">
        <v>30</v>
      </c>
      <c r="E347" s="84"/>
      <c r="F347" s="84"/>
      <c r="G347" s="84"/>
      <c r="H347" s="84"/>
    </row>
    <row r="348" spans="1:11" s="3" customFormat="1" ht="33.75" customHeight="1" x14ac:dyDescent="0.35">
      <c r="A348" s="85" t="s">
        <v>31</v>
      </c>
      <c r="B348" s="86"/>
      <c r="C348" s="87"/>
      <c r="D348" s="41" t="s">
        <v>44</v>
      </c>
      <c r="E348" s="41" t="s">
        <v>45</v>
      </c>
      <c r="F348" s="41" t="s">
        <v>46</v>
      </c>
      <c r="G348" s="41" t="s">
        <v>47</v>
      </c>
      <c r="H348" s="41" t="s">
        <v>48</v>
      </c>
      <c r="I348" s="9"/>
      <c r="J348" s="11" t="s">
        <v>51</v>
      </c>
      <c r="K348" s="5"/>
    </row>
    <row r="349" spans="1:11" s="3" customFormat="1" ht="33.75" customHeight="1" x14ac:dyDescent="0.35">
      <c r="A349" s="88" t="s">
        <v>32</v>
      </c>
      <c r="B349" s="88"/>
      <c r="C349" s="88"/>
      <c r="D349" s="45" t="s">
        <v>124</v>
      </c>
      <c r="E349" s="7"/>
      <c r="F349" s="7"/>
      <c r="G349" s="7"/>
      <c r="H349" s="7"/>
      <c r="I349" s="9"/>
      <c r="J349" s="5" t="s">
        <v>52</v>
      </c>
      <c r="K349" s="5"/>
    </row>
    <row r="350" spans="1:11" s="3" customFormat="1" ht="33.75" customHeight="1" x14ac:dyDescent="0.35">
      <c r="A350" s="88" t="s">
        <v>33</v>
      </c>
      <c r="B350" s="88"/>
      <c r="C350" s="88"/>
      <c r="D350" s="45" t="s">
        <v>124</v>
      </c>
      <c r="E350" s="7"/>
      <c r="F350" s="7"/>
      <c r="G350" s="7"/>
      <c r="H350" s="7"/>
      <c r="I350" s="9"/>
      <c r="J350" s="5" t="s">
        <v>53</v>
      </c>
      <c r="K350" s="5"/>
    </row>
    <row r="351" spans="1:11" s="3" customFormat="1" ht="33.75" customHeight="1" x14ac:dyDescent="0.35">
      <c r="A351" s="88" t="s">
        <v>34</v>
      </c>
      <c r="B351" s="88"/>
      <c r="C351" s="88"/>
      <c r="D351" s="7"/>
      <c r="E351" s="7"/>
      <c r="F351" s="45" t="s">
        <v>124</v>
      </c>
      <c r="G351" s="7"/>
      <c r="H351" s="7"/>
      <c r="I351" s="9"/>
      <c r="J351" s="5" t="s">
        <v>54</v>
      </c>
      <c r="K351" s="5"/>
    </row>
    <row r="352" spans="1:11" s="3" customFormat="1" ht="33.75" customHeight="1" x14ac:dyDescent="0.35">
      <c r="A352" s="88" t="s">
        <v>35</v>
      </c>
      <c r="B352" s="88"/>
      <c r="C352" s="88"/>
      <c r="D352" s="7"/>
      <c r="E352" s="7"/>
      <c r="F352" s="45" t="s">
        <v>124</v>
      </c>
      <c r="G352" s="7"/>
      <c r="H352" s="7"/>
      <c r="I352" s="9"/>
      <c r="J352" s="5" t="s">
        <v>55</v>
      </c>
      <c r="K352" s="5"/>
    </row>
    <row r="353" spans="1:11" s="3" customFormat="1" ht="33.75" customHeight="1" x14ac:dyDescent="0.35">
      <c r="A353" s="88" t="s">
        <v>36</v>
      </c>
      <c r="B353" s="88"/>
      <c r="C353" s="88"/>
      <c r="D353" s="7"/>
      <c r="E353" s="45" t="s">
        <v>124</v>
      </c>
      <c r="F353" s="7"/>
      <c r="G353" s="7"/>
      <c r="H353" s="7"/>
      <c r="I353" s="9"/>
      <c r="J353" s="5" t="s">
        <v>56</v>
      </c>
      <c r="K353" s="5"/>
    </row>
    <row r="354" spans="1:11" s="3" customFormat="1" ht="33.75" customHeight="1" x14ac:dyDescent="0.35">
      <c r="A354" s="88" t="s">
        <v>37</v>
      </c>
      <c r="B354" s="88"/>
      <c r="C354" s="88"/>
      <c r="D354" s="7"/>
      <c r="E354" s="7"/>
      <c r="F354" s="45" t="s">
        <v>124</v>
      </c>
      <c r="G354" s="7"/>
      <c r="H354" s="7"/>
      <c r="I354" s="9"/>
      <c r="J354" s="5" t="s">
        <v>57</v>
      </c>
      <c r="K354" s="5"/>
    </row>
    <row r="355" spans="1:11" s="3" customFormat="1" ht="33.75" customHeight="1" x14ac:dyDescent="0.35">
      <c r="A355" s="88" t="s">
        <v>38</v>
      </c>
      <c r="B355" s="88"/>
      <c r="C355" s="88"/>
      <c r="D355" s="7"/>
      <c r="E355" s="45" t="s">
        <v>124</v>
      </c>
      <c r="F355" s="7"/>
      <c r="G355" s="7"/>
      <c r="H355" s="7"/>
      <c r="I355" s="9"/>
    </row>
    <row r="356" spans="1:11" s="3" customFormat="1" ht="33.75" customHeight="1" x14ac:dyDescent="0.35">
      <c r="A356" s="88" t="s">
        <v>39</v>
      </c>
      <c r="B356" s="88"/>
      <c r="C356" s="88"/>
      <c r="D356" s="45" t="s">
        <v>124</v>
      </c>
      <c r="E356" s="7"/>
      <c r="F356" s="7"/>
      <c r="G356" s="7"/>
      <c r="H356" s="7"/>
      <c r="I356" s="9"/>
    </row>
    <row r="357" spans="1:11" s="3" customFormat="1" ht="33.75" customHeight="1" x14ac:dyDescent="0.35">
      <c r="A357" s="88" t="s">
        <v>40</v>
      </c>
      <c r="B357" s="88"/>
      <c r="C357" s="88"/>
      <c r="D357" s="45" t="s">
        <v>124</v>
      </c>
      <c r="E357" s="7"/>
      <c r="F357" s="7"/>
      <c r="G357" s="7"/>
      <c r="H357" s="7"/>
      <c r="I357" s="9"/>
    </row>
    <row r="358" spans="1:11" s="3" customFormat="1" ht="33.75" customHeight="1" x14ac:dyDescent="0.35">
      <c r="A358" s="88" t="s">
        <v>41</v>
      </c>
      <c r="B358" s="88"/>
      <c r="C358" s="88"/>
      <c r="D358" s="45" t="s">
        <v>124</v>
      </c>
      <c r="E358" s="7"/>
      <c r="F358" s="7"/>
      <c r="G358" s="7"/>
      <c r="H358" s="7"/>
      <c r="I358" s="9"/>
    </row>
    <row r="359" spans="1:11" s="3" customFormat="1" ht="33.75" customHeight="1" x14ac:dyDescent="0.35">
      <c r="A359" s="88" t="s">
        <v>42</v>
      </c>
      <c r="B359" s="88"/>
      <c r="C359" s="88"/>
      <c r="D359" s="7"/>
      <c r="E359" s="45" t="s">
        <v>124</v>
      </c>
      <c r="F359" s="7"/>
      <c r="G359" s="7"/>
      <c r="H359" s="7"/>
      <c r="I359" s="9"/>
    </row>
    <row r="360" spans="1:11" s="3" customFormat="1" ht="33.75" customHeight="1" x14ac:dyDescent="0.35">
      <c r="A360" s="88" t="s">
        <v>43</v>
      </c>
      <c r="B360" s="88"/>
      <c r="C360" s="88"/>
      <c r="D360" s="7"/>
      <c r="E360" s="45" t="s">
        <v>124</v>
      </c>
      <c r="F360" s="7"/>
      <c r="G360" s="7"/>
      <c r="H360" s="7"/>
      <c r="I360" s="9"/>
    </row>
    <row r="361" spans="1:11" ht="54.75" customHeight="1" x14ac:dyDescent="0.25"/>
    <row r="362" spans="1:11" s="15" customFormat="1" ht="36.75" customHeight="1" x14ac:dyDescent="0.4">
      <c r="A362" s="17" t="s">
        <v>78</v>
      </c>
      <c r="B362" s="17"/>
      <c r="C362" s="94" t="s">
        <v>125</v>
      </c>
      <c r="D362" s="94"/>
      <c r="E362" s="94"/>
      <c r="F362" s="94"/>
      <c r="G362" s="94"/>
      <c r="H362" s="94"/>
      <c r="I362" s="94"/>
      <c r="J362" s="94"/>
      <c r="K362" s="16"/>
    </row>
    <row r="363" spans="1:11" s="15" customFormat="1" ht="42.75" customHeight="1" x14ac:dyDescent="0.4">
      <c r="A363" s="17" t="s">
        <v>80</v>
      </c>
      <c r="B363" s="17"/>
      <c r="C363" s="95" t="s">
        <v>107</v>
      </c>
      <c r="D363" s="95"/>
      <c r="E363" s="95"/>
      <c r="F363" s="95"/>
      <c r="G363" s="95"/>
      <c r="H363" s="95"/>
      <c r="I363" s="16"/>
      <c r="J363" s="16"/>
      <c r="K363" s="16"/>
    </row>
    <row r="364" spans="1:11" s="15" customFormat="1" ht="31.5" customHeight="1" x14ac:dyDescent="0.4">
      <c r="A364" s="17"/>
      <c r="B364" s="17"/>
      <c r="C364" s="18"/>
      <c r="D364" s="18"/>
      <c r="E364" s="18"/>
      <c r="F364" s="18"/>
      <c r="G364" s="18"/>
      <c r="H364" s="18"/>
      <c r="I364" s="16"/>
      <c r="J364" s="16"/>
      <c r="K364" s="16"/>
    </row>
    <row r="365" spans="1:11" s="15" customFormat="1" ht="31.5" customHeight="1" x14ac:dyDescent="0.4">
      <c r="A365" s="17" t="s">
        <v>81</v>
      </c>
      <c r="B365" s="17"/>
      <c r="C365" s="44" t="s">
        <v>129</v>
      </c>
      <c r="D365" s="44"/>
      <c r="E365" s="44"/>
      <c r="F365" s="44"/>
      <c r="G365" s="44"/>
      <c r="H365" s="44"/>
      <c r="I365" s="44"/>
      <c r="J365" s="44"/>
      <c r="K365" s="16"/>
    </row>
    <row r="366" spans="1:11" s="15" customFormat="1" ht="46.5" customHeight="1" x14ac:dyDescent="0.4">
      <c r="A366" s="17" t="s">
        <v>80</v>
      </c>
      <c r="B366" s="17"/>
      <c r="C366" s="95" t="s">
        <v>107</v>
      </c>
      <c r="D366" s="95"/>
      <c r="E366" s="95"/>
      <c r="F366" s="95"/>
      <c r="G366" s="95"/>
      <c r="H366" s="95"/>
      <c r="I366" s="16"/>
      <c r="J366" s="16"/>
      <c r="K366" s="16"/>
    </row>
    <row r="368" spans="1:11" ht="66" customHeight="1" x14ac:dyDescent="0.25">
      <c r="A368" s="62" t="s">
        <v>0</v>
      </c>
      <c r="B368" s="62"/>
      <c r="C368" s="62"/>
      <c r="D368" s="62"/>
      <c r="E368" s="62"/>
      <c r="F368" s="62"/>
      <c r="G368" s="62"/>
      <c r="H368" s="62"/>
      <c r="I368" s="62"/>
      <c r="J368" s="62"/>
      <c r="K368" s="62"/>
    </row>
    <row r="369" spans="1:11" ht="27.75" customHeight="1" x14ac:dyDescent="0.3">
      <c r="A369" s="63" t="s">
        <v>1</v>
      </c>
      <c r="B369" s="63"/>
      <c r="C369" s="63"/>
      <c r="D369" s="63"/>
      <c r="E369" s="63"/>
      <c r="F369" s="63"/>
      <c r="G369" s="63"/>
      <c r="H369" s="63"/>
      <c r="I369" s="63"/>
      <c r="J369" s="63"/>
      <c r="K369" s="63"/>
    </row>
    <row r="370" spans="1:11" ht="46.5" customHeight="1" x14ac:dyDescent="0.25">
      <c r="A370" s="64" t="s">
        <v>2</v>
      </c>
      <c r="B370" s="64"/>
      <c r="C370" s="64"/>
      <c r="D370" s="64"/>
      <c r="E370" s="64"/>
      <c r="F370" s="64"/>
      <c r="G370" s="64"/>
      <c r="H370" s="64"/>
      <c r="I370" s="64"/>
      <c r="J370" s="64"/>
      <c r="K370" s="64"/>
    </row>
    <row r="371" spans="1:11" ht="39" customHeight="1" x14ac:dyDescent="0.55000000000000004">
      <c r="A371" s="65" t="s">
        <v>144</v>
      </c>
      <c r="B371" s="65"/>
      <c r="C371" s="65"/>
      <c r="D371" s="65"/>
      <c r="E371" s="65"/>
      <c r="F371" s="65"/>
      <c r="G371" s="65"/>
      <c r="H371" s="65"/>
      <c r="I371" s="65"/>
      <c r="J371" s="65"/>
      <c r="K371" s="65"/>
    </row>
    <row r="372" spans="1:11" ht="31.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s="20" customFormat="1" ht="31.5" customHeight="1" x14ac:dyDescent="0.4">
      <c r="A373" s="19" t="s">
        <v>60</v>
      </c>
      <c r="B373" s="59" t="s">
        <v>145</v>
      </c>
      <c r="C373" s="59"/>
      <c r="D373" s="59"/>
      <c r="E373" s="59"/>
      <c r="F373" s="59"/>
      <c r="G373" s="19" t="s">
        <v>59</v>
      </c>
      <c r="H373" s="47" t="s">
        <v>96</v>
      </c>
      <c r="I373" s="19" t="s">
        <v>75</v>
      </c>
      <c r="J373" s="59" t="str">
        <f>J7</f>
        <v>SS 1</v>
      </c>
      <c r="K373" s="59"/>
    </row>
    <row r="374" spans="1:11" s="20" customFormat="1" ht="31.5" customHeight="1" x14ac:dyDescent="0.4">
      <c r="A374" s="19" t="s">
        <v>61</v>
      </c>
      <c r="B374" s="59" t="s">
        <v>84</v>
      </c>
      <c r="C374" s="59"/>
      <c r="D374" s="19" t="s">
        <v>68</v>
      </c>
      <c r="E374" s="59" t="s">
        <v>138</v>
      </c>
      <c r="F374" s="59"/>
      <c r="G374" s="59"/>
      <c r="H374" s="59"/>
      <c r="I374" s="19" t="s">
        <v>69</v>
      </c>
      <c r="J374" s="59" t="s">
        <v>90</v>
      </c>
      <c r="K374" s="59"/>
    </row>
    <row r="375" spans="1:11" s="20" customFormat="1" ht="35.25" customHeight="1" x14ac:dyDescent="0.4">
      <c r="A375" s="19" t="s">
        <v>63</v>
      </c>
      <c r="B375" s="47" t="s">
        <v>64</v>
      </c>
      <c r="C375" s="47"/>
      <c r="D375" s="47"/>
      <c r="E375" s="55"/>
      <c r="F375" s="19" t="s">
        <v>62</v>
      </c>
      <c r="H375" s="47">
        <f>H9</f>
        <v>17</v>
      </c>
      <c r="I375" s="19" t="s">
        <v>70</v>
      </c>
      <c r="J375" s="59"/>
      <c r="K375" s="59"/>
    </row>
    <row r="376" spans="1:11" s="20" customFormat="1" ht="39" customHeight="1" x14ac:dyDescent="0.4">
      <c r="A376" s="19" t="s">
        <v>71</v>
      </c>
      <c r="B376" s="21" t="str">
        <f>B10</f>
        <v>25th March, 2025</v>
      </c>
      <c r="C376" s="21"/>
      <c r="D376" s="21"/>
      <c r="E376" s="21"/>
      <c r="F376" s="19" t="s">
        <v>73</v>
      </c>
      <c r="G376" s="19"/>
      <c r="H376" s="24" t="str">
        <f>H10</f>
        <v>28th April, 2025</v>
      </c>
      <c r="I376" s="21"/>
      <c r="J376" s="21"/>
      <c r="K376" s="21"/>
    </row>
    <row r="377" spans="1:11" s="20" customFormat="1" ht="39.75" customHeight="1" x14ac:dyDescent="0.4">
      <c r="A377" s="19" t="s">
        <v>72</v>
      </c>
      <c r="B377" s="21"/>
      <c r="C377" s="60"/>
      <c r="D377" s="60"/>
      <c r="E377" s="60"/>
      <c r="F377" s="19" t="s">
        <v>74</v>
      </c>
      <c r="G377" s="19"/>
      <c r="H377" s="61"/>
      <c r="I377" s="61"/>
      <c r="J377" s="61"/>
      <c r="K377" s="61"/>
    </row>
    <row r="378" spans="1:11" s="20" customFormat="1" ht="21" customHeight="1" x14ac:dyDescent="0.4">
      <c r="A378" s="19"/>
      <c r="B378" s="21"/>
      <c r="C378" s="51"/>
      <c r="D378" s="51"/>
      <c r="E378" s="51"/>
      <c r="F378" s="19"/>
      <c r="G378" s="19"/>
      <c r="H378" s="52"/>
      <c r="I378" s="52"/>
      <c r="J378" s="52"/>
      <c r="K378" s="52"/>
    </row>
    <row r="379" spans="1:11" s="20" customFormat="1" ht="34.5" x14ac:dyDescent="0.45">
      <c r="A379" s="19"/>
      <c r="B379" s="67" t="s">
        <v>143</v>
      </c>
      <c r="C379" s="67"/>
      <c r="D379" s="67"/>
      <c r="E379" s="67"/>
      <c r="F379" s="67"/>
      <c r="G379" s="67"/>
      <c r="H379" s="67"/>
      <c r="I379" s="67"/>
      <c r="J379" s="67"/>
      <c r="K379" s="67"/>
    </row>
    <row r="380" spans="1:11" s="14" customFormat="1" ht="36.75" customHeight="1" x14ac:dyDescent="0.45">
      <c r="A380" s="15"/>
      <c r="B380" s="67" t="s">
        <v>5</v>
      </c>
      <c r="C380" s="67"/>
      <c r="D380" s="67"/>
      <c r="E380" s="67"/>
      <c r="F380" s="67"/>
      <c r="G380" s="67"/>
      <c r="H380" s="67"/>
      <c r="I380" s="67"/>
      <c r="J380" s="67"/>
      <c r="K380" s="67"/>
    </row>
    <row r="381" spans="1:11" s="14" customFormat="1" ht="31.5" customHeight="1" x14ac:dyDescent="0.4">
      <c r="B381" s="68" t="s">
        <v>22</v>
      </c>
      <c r="C381" s="69"/>
      <c r="D381" s="69"/>
      <c r="E381" s="69"/>
      <c r="F381" s="49" t="s">
        <v>24</v>
      </c>
      <c r="G381" s="70" t="s">
        <v>25</v>
      </c>
      <c r="H381" s="72" t="s">
        <v>27</v>
      </c>
      <c r="I381" s="75" t="s">
        <v>66</v>
      </c>
      <c r="J381" s="76"/>
      <c r="K381" s="76" t="s">
        <v>29</v>
      </c>
    </row>
    <row r="382" spans="1:11" s="14" customFormat="1" ht="31.5" customHeight="1" x14ac:dyDescent="0.4">
      <c r="B382" s="68" t="s">
        <v>76</v>
      </c>
      <c r="C382" s="79"/>
      <c r="D382" s="26" t="s">
        <v>77</v>
      </c>
      <c r="E382" s="27" t="s">
        <v>77</v>
      </c>
      <c r="F382" s="28" t="s">
        <v>23</v>
      </c>
      <c r="G382" s="71"/>
      <c r="H382" s="73"/>
      <c r="I382" s="75"/>
      <c r="J382" s="77"/>
      <c r="K382" s="77"/>
    </row>
    <row r="383" spans="1:11" s="14" customFormat="1" ht="31.5" customHeight="1" x14ac:dyDescent="0.4">
      <c r="B383" s="80">
        <v>0.05</v>
      </c>
      <c r="C383" s="80">
        <v>0.05</v>
      </c>
      <c r="D383" s="80">
        <v>0.1</v>
      </c>
      <c r="E383" s="80">
        <v>0.1</v>
      </c>
      <c r="F383" s="90">
        <v>0.7</v>
      </c>
      <c r="G383" s="53" t="s">
        <v>26</v>
      </c>
      <c r="H383" s="74"/>
      <c r="I383" s="70"/>
      <c r="J383" s="77"/>
      <c r="K383" s="77"/>
    </row>
    <row r="384" spans="1:11" s="14" customFormat="1" ht="31.5" customHeight="1" x14ac:dyDescent="0.4">
      <c r="A384" s="23" t="s">
        <v>4</v>
      </c>
      <c r="B384" s="81"/>
      <c r="C384" s="81"/>
      <c r="D384" s="81"/>
      <c r="E384" s="81"/>
      <c r="F384" s="91"/>
      <c r="G384" s="29">
        <v>1</v>
      </c>
      <c r="H384" s="28" t="s">
        <v>28</v>
      </c>
      <c r="I384" s="43" t="s">
        <v>65</v>
      </c>
      <c r="J384" s="48" t="s">
        <v>67</v>
      </c>
      <c r="K384" s="78"/>
    </row>
    <row r="385" spans="1:11" s="3" customFormat="1" ht="41.25" customHeight="1" x14ac:dyDescent="0.4">
      <c r="A385" s="57" t="s">
        <v>6</v>
      </c>
      <c r="B385" s="33">
        <v>7</v>
      </c>
      <c r="C385" s="33">
        <v>8</v>
      </c>
      <c r="D385" s="33">
        <v>13</v>
      </c>
      <c r="E385" s="33">
        <v>9</v>
      </c>
      <c r="F385" s="33">
        <v>19</v>
      </c>
      <c r="G385" s="31">
        <f t="shared" ref="G385:G394" si="18">SUM(B385:F385)</f>
        <v>56</v>
      </c>
      <c r="H385" s="38">
        <v>60</v>
      </c>
      <c r="I385" s="31" t="s">
        <v>117</v>
      </c>
      <c r="J385" s="33" t="str">
        <f>IF(G385&gt;=70,"A",IF(G385&gt;=60,"B",IF(G385&gt;=50,"C",IF(G385&gt;=45,"D",IF(G385&gt;=40,"E",IF(G385&lt;=39,"F"))))))</f>
        <v>C</v>
      </c>
      <c r="K385" s="34" t="str">
        <f>IF(G385&gt;=70,"EXCELLENT",IF(G385&gt;=60,"V.GOOD",IF(G385&gt;=50,"GOOD",IF(G385&gt;=45,"PASS",IF(G385&gt;=40,"FAIR",IF(G385&lt;=39,"FAIL"))))))</f>
        <v>GOOD</v>
      </c>
    </row>
    <row r="386" spans="1:11" s="3" customFormat="1" ht="41.25" customHeight="1" x14ac:dyDescent="0.4">
      <c r="A386" s="57" t="s">
        <v>7</v>
      </c>
      <c r="B386" s="33">
        <v>8</v>
      </c>
      <c r="C386" s="33">
        <v>7</v>
      </c>
      <c r="D386" s="33">
        <v>17</v>
      </c>
      <c r="E386" s="33">
        <v>17</v>
      </c>
      <c r="F386" s="33">
        <v>21</v>
      </c>
      <c r="G386" s="33">
        <f t="shared" si="18"/>
        <v>70</v>
      </c>
      <c r="H386" s="39">
        <v>58.9</v>
      </c>
      <c r="I386" s="33" t="s">
        <v>115</v>
      </c>
      <c r="J386" s="33" t="str">
        <f t="shared" ref="J386:J394" si="19">IF(G386&gt;=70,"A",IF(G386&gt;=60,"B",IF(G386&gt;=50,"C",IF(G386&gt;=45,"D",IF(G386&gt;=40,"E",IF(G386&lt;=39,"F"))))))</f>
        <v>A</v>
      </c>
      <c r="K386" s="34" t="str">
        <f t="shared" ref="K386:K394" si="20">IF(G386&gt;=70,"EXCELLENT",IF(G386&gt;=60,"V.GOOD",IF(G386&gt;=50,"GOOD",IF(G386&gt;=45,"PASS",IF(G386&gt;=40,"FAIR",IF(G386&lt;=39,"FAIL"))))))</f>
        <v>EXCELLENT</v>
      </c>
    </row>
    <row r="387" spans="1:11" s="3" customFormat="1" ht="41.25" customHeight="1" x14ac:dyDescent="0.4">
      <c r="A387" s="57" t="s">
        <v>152</v>
      </c>
      <c r="B387" s="33">
        <v>6</v>
      </c>
      <c r="C387" s="33">
        <v>4</v>
      </c>
      <c r="D387" s="33">
        <v>12</v>
      </c>
      <c r="E387" s="33">
        <v>12</v>
      </c>
      <c r="F387" s="33">
        <v>14</v>
      </c>
      <c r="G387" s="33">
        <f t="shared" si="18"/>
        <v>48</v>
      </c>
      <c r="H387" s="39">
        <v>51.8</v>
      </c>
      <c r="I387" s="33" t="s">
        <v>118</v>
      </c>
      <c r="J387" s="33" t="str">
        <f t="shared" si="19"/>
        <v>D</v>
      </c>
      <c r="K387" s="34" t="str">
        <f t="shared" si="20"/>
        <v>PASS</v>
      </c>
    </row>
    <row r="388" spans="1:11" s="3" customFormat="1" ht="41.25" customHeight="1" x14ac:dyDescent="0.4">
      <c r="A388" s="57" t="s">
        <v>153</v>
      </c>
      <c r="B388" s="33">
        <v>10</v>
      </c>
      <c r="C388" s="33">
        <v>10</v>
      </c>
      <c r="D388" s="33">
        <v>11</v>
      </c>
      <c r="E388" s="33">
        <v>12</v>
      </c>
      <c r="F388" s="33">
        <v>23</v>
      </c>
      <c r="G388" s="33">
        <f t="shared" si="18"/>
        <v>66</v>
      </c>
      <c r="H388" s="39">
        <v>72.599999999999994</v>
      </c>
      <c r="I388" s="33" t="s">
        <v>121</v>
      </c>
      <c r="J388" s="33" t="str">
        <f t="shared" si="19"/>
        <v>B</v>
      </c>
      <c r="K388" s="34" t="str">
        <f t="shared" si="20"/>
        <v>V.GOOD</v>
      </c>
    </row>
    <row r="389" spans="1:11" s="3" customFormat="1" ht="41.25" customHeight="1" x14ac:dyDescent="0.4">
      <c r="A389" s="57" t="s">
        <v>154</v>
      </c>
      <c r="B389" s="33">
        <v>6</v>
      </c>
      <c r="C389" s="33">
        <v>10</v>
      </c>
      <c r="D389" s="33">
        <v>13</v>
      </c>
      <c r="E389" s="33">
        <v>14</v>
      </c>
      <c r="F389" s="33">
        <v>33</v>
      </c>
      <c r="G389" s="33">
        <f t="shared" si="18"/>
        <v>76</v>
      </c>
      <c r="H389" s="39">
        <v>71.400000000000006</v>
      </c>
      <c r="I389" s="33" t="s">
        <v>115</v>
      </c>
      <c r="J389" s="33" t="str">
        <f t="shared" si="19"/>
        <v>A</v>
      </c>
      <c r="K389" s="34" t="str">
        <f t="shared" si="20"/>
        <v>EXCELLENT</v>
      </c>
    </row>
    <row r="390" spans="1:11" s="3" customFormat="1" ht="41.25" customHeight="1" x14ac:dyDescent="0.4">
      <c r="A390" s="57" t="s">
        <v>13</v>
      </c>
      <c r="B390" s="33">
        <v>7</v>
      </c>
      <c r="C390" s="33">
        <v>7</v>
      </c>
      <c r="D390" s="33">
        <v>11</v>
      </c>
      <c r="E390" s="33">
        <v>10</v>
      </c>
      <c r="F390" s="33">
        <v>29</v>
      </c>
      <c r="G390" s="33">
        <f t="shared" si="18"/>
        <v>64</v>
      </c>
      <c r="H390" s="39">
        <v>54.7</v>
      </c>
      <c r="I390" s="33" t="s">
        <v>116</v>
      </c>
      <c r="J390" s="33" t="str">
        <f t="shared" si="19"/>
        <v>B</v>
      </c>
      <c r="K390" s="34" t="str">
        <f t="shared" si="20"/>
        <v>V.GOOD</v>
      </c>
    </row>
    <row r="391" spans="1:11" s="3" customFormat="1" ht="41.25" customHeight="1" x14ac:dyDescent="0.4">
      <c r="A391" s="57" t="s">
        <v>155</v>
      </c>
      <c r="B391" s="33">
        <v>10</v>
      </c>
      <c r="C391" s="33">
        <v>9</v>
      </c>
      <c r="D391" s="33">
        <v>9</v>
      </c>
      <c r="E391" s="33">
        <v>11</v>
      </c>
      <c r="F391" s="33">
        <v>20</v>
      </c>
      <c r="G391" s="33">
        <f t="shared" si="18"/>
        <v>59</v>
      </c>
      <c r="H391" s="39">
        <v>65.2</v>
      </c>
      <c r="I391" s="33" t="s">
        <v>119</v>
      </c>
      <c r="J391" s="33" t="str">
        <f t="shared" si="19"/>
        <v>C</v>
      </c>
      <c r="K391" s="34" t="str">
        <f t="shared" si="20"/>
        <v>GOOD</v>
      </c>
    </row>
    <row r="392" spans="1:11" s="3" customFormat="1" ht="41.25" customHeight="1" x14ac:dyDescent="0.4">
      <c r="A392" s="57" t="s">
        <v>156</v>
      </c>
      <c r="B392" s="33">
        <v>10</v>
      </c>
      <c r="C392" s="33">
        <v>9</v>
      </c>
      <c r="D392" s="33">
        <v>16</v>
      </c>
      <c r="E392" s="33">
        <v>15</v>
      </c>
      <c r="F392" s="33">
        <v>30</v>
      </c>
      <c r="G392" s="33">
        <f t="shared" si="18"/>
        <v>80</v>
      </c>
      <c r="H392" s="39">
        <v>71.25</v>
      </c>
      <c r="I392" s="33" t="s">
        <v>115</v>
      </c>
      <c r="J392" s="33" t="str">
        <f t="shared" si="19"/>
        <v>A</v>
      </c>
      <c r="K392" s="34" t="str">
        <f t="shared" si="20"/>
        <v>EXCELLENT</v>
      </c>
    </row>
    <row r="393" spans="1:11" s="3" customFormat="1" ht="41.25" customHeight="1" x14ac:dyDescent="0.4">
      <c r="A393" s="57" t="s">
        <v>157</v>
      </c>
      <c r="B393" s="33">
        <v>7</v>
      </c>
      <c r="C393" s="33">
        <v>10</v>
      </c>
      <c r="D393" s="33">
        <v>14</v>
      </c>
      <c r="E393" s="33">
        <v>20</v>
      </c>
      <c r="F393" s="33">
        <v>34</v>
      </c>
      <c r="G393" s="33">
        <f t="shared" si="18"/>
        <v>85</v>
      </c>
      <c r="H393" s="39">
        <v>79.5</v>
      </c>
      <c r="I393" s="33" t="s">
        <v>113</v>
      </c>
      <c r="J393" s="33" t="str">
        <f t="shared" si="19"/>
        <v>A</v>
      </c>
      <c r="K393" s="34" t="str">
        <f t="shared" si="20"/>
        <v>EXCELLENT</v>
      </c>
    </row>
    <row r="394" spans="1:11" s="3" customFormat="1" ht="41.25" customHeight="1" x14ac:dyDescent="0.4">
      <c r="A394" s="57" t="s">
        <v>158</v>
      </c>
      <c r="B394" s="33">
        <v>8</v>
      </c>
      <c r="C394" s="33">
        <v>7</v>
      </c>
      <c r="D394" s="33">
        <v>15</v>
      </c>
      <c r="E394" s="33">
        <v>15</v>
      </c>
      <c r="F394" s="33">
        <v>22</v>
      </c>
      <c r="G394" s="33">
        <f t="shared" si="18"/>
        <v>67</v>
      </c>
      <c r="H394" s="39">
        <v>66.08</v>
      </c>
      <c r="I394" s="33" t="s">
        <v>118</v>
      </c>
      <c r="J394" s="33" t="str">
        <f t="shared" si="19"/>
        <v>B</v>
      </c>
      <c r="K394" s="34" t="str">
        <f t="shared" si="20"/>
        <v>V.GOOD</v>
      </c>
    </row>
    <row r="395" spans="1:11" s="3" customFormat="1" ht="41.25" customHeight="1" x14ac:dyDescent="0.4">
      <c r="A395" s="58"/>
      <c r="B395" s="33"/>
      <c r="C395" s="33"/>
      <c r="D395" s="33"/>
      <c r="E395" s="33"/>
      <c r="F395" s="33"/>
      <c r="G395" s="33"/>
      <c r="H395" s="39"/>
      <c r="I395" s="33"/>
      <c r="J395" s="33"/>
      <c r="K395" s="34"/>
    </row>
    <row r="396" spans="1:11" s="3" customFormat="1" ht="41.25" customHeight="1" x14ac:dyDescent="0.4">
      <c r="A396" s="58"/>
      <c r="B396" s="33"/>
      <c r="C396" s="33"/>
      <c r="D396" s="33"/>
      <c r="E396" s="33"/>
      <c r="F396" s="33"/>
      <c r="G396" s="33"/>
      <c r="H396" s="39"/>
      <c r="I396" s="33"/>
      <c r="J396" s="33"/>
      <c r="K396" s="34"/>
    </row>
    <row r="397" spans="1:11" s="3" customFormat="1" ht="41.25" customHeight="1" x14ac:dyDescent="0.4">
      <c r="A397" s="58"/>
      <c r="B397" s="33"/>
      <c r="C397" s="33"/>
      <c r="D397" s="33"/>
      <c r="E397" s="33"/>
      <c r="F397" s="33"/>
      <c r="G397" s="33"/>
      <c r="H397" s="39"/>
      <c r="I397" s="33"/>
      <c r="J397" s="33"/>
      <c r="K397" s="34"/>
    </row>
    <row r="398" spans="1:11" s="3" customFormat="1" ht="41.25" customHeight="1" x14ac:dyDescent="0.4">
      <c r="A398" s="58"/>
      <c r="B398" s="33"/>
      <c r="C398" s="33"/>
      <c r="D398" s="33"/>
      <c r="E398" s="33"/>
      <c r="F398" s="33"/>
      <c r="G398" s="33"/>
      <c r="H398" s="39"/>
      <c r="I398" s="33"/>
      <c r="J398" s="33"/>
      <c r="K398" s="34"/>
    </row>
    <row r="399" spans="1:11" s="3" customFormat="1" ht="41.25" customHeight="1" x14ac:dyDescent="0.4">
      <c r="A399" s="58"/>
      <c r="B399" s="33"/>
      <c r="C399" s="33"/>
      <c r="D399" s="33"/>
      <c r="E399" s="33"/>
      <c r="F399" s="33"/>
      <c r="G399" s="33"/>
      <c r="H399" s="39"/>
      <c r="I399" s="33"/>
      <c r="J399" s="33"/>
      <c r="K399" s="34"/>
    </row>
    <row r="400" spans="1:11" s="3" customFormat="1" ht="41.25" customHeight="1" x14ac:dyDescent="0.4">
      <c r="A400" s="58"/>
      <c r="B400" s="33"/>
      <c r="C400" s="33"/>
      <c r="D400" s="33"/>
      <c r="E400" s="33"/>
      <c r="F400" s="33"/>
      <c r="G400" s="33"/>
      <c r="H400" s="39"/>
      <c r="I400" s="33"/>
      <c r="J400" s="33"/>
      <c r="K400" s="34"/>
    </row>
    <row r="401" spans="1:11" s="3" customFormat="1" ht="41.25" customHeight="1" x14ac:dyDescent="0.4">
      <c r="A401" s="58"/>
      <c r="B401" s="33"/>
      <c r="C401" s="33"/>
      <c r="D401" s="33"/>
      <c r="E401" s="33"/>
      <c r="F401" s="33"/>
      <c r="G401" s="33"/>
      <c r="H401" s="39"/>
      <c r="I401" s="33"/>
      <c r="J401" s="33"/>
      <c r="K401" s="34"/>
    </row>
    <row r="402" spans="1:11" s="3" customFormat="1" ht="41.25" customHeight="1" x14ac:dyDescent="0.4">
      <c r="A402" s="4"/>
      <c r="B402" s="33"/>
      <c r="C402" s="33"/>
      <c r="D402" s="33"/>
      <c r="E402" s="33"/>
      <c r="F402" s="33"/>
      <c r="G402" s="33"/>
      <c r="H402" s="33"/>
      <c r="I402" s="33"/>
      <c r="J402" s="25"/>
      <c r="K402" s="35"/>
    </row>
    <row r="403" spans="1:11" s="3" customFormat="1" ht="41.25" customHeight="1" x14ac:dyDescent="0.4">
      <c r="A403" s="4"/>
      <c r="B403" s="33"/>
      <c r="C403" s="33"/>
      <c r="D403" s="33"/>
      <c r="E403" s="33"/>
      <c r="F403" s="33"/>
      <c r="G403" s="33"/>
      <c r="H403" s="33"/>
      <c r="I403" s="33"/>
      <c r="J403" s="25"/>
      <c r="K403" s="35"/>
    </row>
    <row r="404" spans="1:11" s="3" customFormat="1" ht="31.5" customHeight="1" x14ac:dyDescent="0.35">
      <c r="A404" s="5"/>
    </row>
    <row r="405" spans="1:11" s="3" customFormat="1" ht="31.5" customHeight="1" x14ac:dyDescent="0.45">
      <c r="A405" s="56" t="s">
        <v>58</v>
      </c>
      <c r="B405" s="36">
        <f>SUM(G385:G401)</f>
        <v>671</v>
      </c>
      <c r="C405" s="22"/>
      <c r="D405" s="22"/>
      <c r="E405" s="37"/>
      <c r="F405" s="83" t="s">
        <v>49</v>
      </c>
      <c r="G405" s="83"/>
      <c r="H405" s="93">
        <f>B405</f>
        <v>671</v>
      </c>
      <c r="I405" s="93"/>
      <c r="J405" s="92" t="s">
        <v>50</v>
      </c>
      <c r="K405" s="82">
        <f>H405/17</f>
        <v>39.470588235294116</v>
      </c>
    </row>
    <row r="406" spans="1:11" s="3" customFormat="1" ht="31.5" customHeight="1" x14ac:dyDescent="0.45">
      <c r="A406" s="37"/>
      <c r="B406" s="22"/>
      <c r="C406" s="22"/>
      <c r="D406" s="22"/>
      <c r="E406" s="37"/>
      <c r="F406" s="37"/>
      <c r="G406" s="37"/>
      <c r="H406" s="83">
        <v>17</v>
      </c>
      <c r="I406" s="83"/>
      <c r="J406" s="92"/>
      <c r="K406" s="82"/>
    </row>
    <row r="407" spans="1:11" s="3" customFormat="1" ht="31.5" customHeight="1" x14ac:dyDescent="0.35">
      <c r="A407" s="5"/>
      <c r="E407" s="5"/>
      <c r="F407" s="5"/>
      <c r="G407" s="5"/>
      <c r="H407" s="8"/>
      <c r="I407" s="8"/>
      <c r="J407" s="12"/>
      <c r="K407" s="13"/>
    </row>
    <row r="408" spans="1:11" s="3" customFormat="1" ht="33.75" customHeight="1" x14ac:dyDescent="0.35">
      <c r="A408" s="5"/>
      <c r="D408" s="84" t="s">
        <v>30</v>
      </c>
      <c r="E408" s="84"/>
      <c r="F408" s="84"/>
      <c r="G408" s="84"/>
      <c r="H408" s="84"/>
    </row>
    <row r="409" spans="1:11" s="3" customFormat="1" ht="33.75" customHeight="1" x14ac:dyDescent="0.35">
      <c r="A409" s="85" t="s">
        <v>31</v>
      </c>
      <c r="B409" s="86"/>
      <c r="C409" s="87"/>
      <c r="D409" s="41" t="s">
        <v>44</v>
      </c>
      <c r="E409" s="41" t="s">
        <v>45</v>
      </c>
      <c r="F409" s="41" t="s">
        <v>46</v>
      </c>
      <c r="G409" s="41" t="s">
        <v>47</v>
      </c>
      <c r="H409" s="41" t="s">
        <v>48</v>
      </c>
      <c r="I409" s="9"/>
      <c r="J409" s="11" t="s">
        <v>51</v>
      </c>
      <c r="K409" s="5"/>
    </row>
    <row r="410" spans="1:11" s="3" customFormat="1" ht="33.75" customHeight="1" x14ac:dyDescent="0.35">
      <c r="A410" s="88" t="s">
        <v>32</v>
      </c>
      <c r="B410" s="88"/>
      <c r="C410" s="88"/>
      <c r="D410" s="45"/>
      <c r="E410" s="45" t="s">
        <v>124</v>
      </c>
      <c r="F410" s="7"/>
      <c r="G410" s="7"/>
      <c r="H410" s="7"/>
      <c r="I410" s="9"/>
      <c r="J410" s="5" t="s">
        <v>52</v>
      </c>
      <c r="K410" s="5"/>
    </row>
    <row r="411" spans="1:11" s="3" customFormat="1" ht="33.75" customHeight="1" x14ac:dyDescent="0.35">
      <c r="A411" s="88" t="s">
        <v>33</v>
      </c>
      <c r="B411" s="88"/>
      <c r="C411" s="88"/>
      <c r="D411" s="45" t="s">
        <v>124</v>
      </c>
      <c r="E411" s="7"/>
      <c r="F411" s="7"/>
      <c r="G411" s="7"/>
      <c r="H411" s="7"/>
      <c r="I411" s="9"/>
      <c r="J411" s="5" t="s">
        <v>53</v>
      </c>
      <c r="K411" s="5"/>
    </row>
    <row r="412" spans="1:11" s="3" customFormat="1" ht="33.75" customHeight="1" x14ac:dyDescent="0.35">
      <c r="A412" s="88" t="s">
        <v>34</v>
      </c>
      <c r="B412" s="88"/>
      <c r="C412" s="88"/>
      <c r="D412" s="7"/>
      <c r="E412" s="45" t="s">
        <v>124</v>
      </c>
      <c r="F412" s="7"/>
      <c r="G412" s="7"/>
      <c r="H412" s="7"/>
      <c r="I412" s="9"/>
      <c r="J412" s="5" t="s">
        <v>54</v>
      </c>
      <c r="K412" s="5"/>
    </row>
    <row r="413" spans="1:11" s="3" customFormat="1" ht="33.75" customHeight="1" x14ac:dyDescent="0.35">
      <c r="A413" s="88" t="s">
        <v>35</v>
      </c>
      <c r="B413" s="88"/>
      <c r="C413" s="88"/>
      <c r="D413" s="7"/>
      <c r="E413" s="45" t="s">
        <v>124</v>
      </c>
      <c r="F413" s="7"/>
      <c r="G413" s="7"/>
      <c r="H413" s="7"/>
      <c r="I413" s="9"/>
      <c r="J413" s="5" t="s">
        <v>55</v>
      </c>
      <c r="K413" s="5"/>
    </row>
    <row r="414" spans="1:11" s="3" customFormat="1" ht="33.75" customHeight="1" x14ac:dyDescent="0.35">
      <c r="A414" s="88" t="s">
        <v>36</v>
      </c>
      <c r="B414" s="88"/>
      <c r="C414" s="88"/>
      <c r="D414" s="45" t="s">
        <v>124</v>
      </c>
      <c r="E414" s="7"/>
      <c r="F414" s="7"/>
      <c r="G414" s="7"/>
      <c r="H414" s="7"/>
      <c r="I414" s="9"/>
      <c r="J414" s="5" t="s">
        <v>56</v>
      </c>
      <c r="K414" s="5"/>
    </row>
    <row r="415" spans="1:11" s="3" customFormat="1" ht="33.75" customHeight="1" x14ac:dyDescent="0.35">
      <c r="A415" s="88" t="s">
        <v>37</v>
      </c>
      <c r="B415" s="88"/>
      <c r="C415" s="88"/>
      <c r="D415" s="7"/>
      <c r="E415" s="45" t="s">
        <v>124</v>
      </c>
      <c r="F415" s="7"/>
      <c r="G415" s="7"/>
      <c r="H415" s="7"/>
      <c r="I415" s="9"/>
      <c r="J415" s="5" t="s">
        <v>57</v>
      </c>
      <c r="K415" s="5"/>
    </row>
    <row r="416" spans="1:11" s="3" customFormat="1" ht="33.75" customHeight="1" x14ac:dyDescent="0.35">
      <c r="A416" s="88" t="s">
        <v>38</v>
      </c>
      <c r="B416" s="88"/>
      <c r="C416" s="88"/>
      <c r="D416" s="45" t="s">
        <v>124</v>
      </c>
      <c r="E416" s="7"/>
      <c r="F416" s="7"/>
      <c r="G416" s="7"/>
      <c r="H416" s="7"/>
      <c r="I416" s="9"/>
    </row>
    <row r="417" spans="1:11" s="3" customFormat="1" ht="33.75" customHeight="1" x14ac:dyDescent="0.35">
      <c r="A417" s="88" t="s">
        <v>39</v>
      </c>
      <c r="B417" s="88"/>
      <c r="C417" s="88"/>
      <c r="D417" s="45" t="s">
        <v>124</v>
      </c>
      <c r="E417" s="7"/>
      <c r="F417" s="7"/>
      <c r="G417" s="7"/>
      <c r="H417" s="7"/>
      <c r="I417" s="9"/>
    </row>
    <row r="418" spans="1:11" s="3" customFormat="1" ht="33.75" customHeight="1" x14ac:dyDescent="0.35">
      <c r="A418" s="88" t="s">
        <v>40</v>
      </c>
      <c r="B418" s="88"/>
      <c r="C418" s="88"/>
      <c r="D418" s="45" t="s">
        <v>124</v>
      </c>
      <c r="E418" s="7"/>
      <c r="F418" s="7"/>
      <c r="G418" s="7"/>
      <c r="H418" s="7"/>
      <c r="I418" s="9"/>
    </row>
    <row r="419" spans="1:11" s="3" customFormat="1" ht="33.75" customHeight="1" x14ac:dyDescent="0.35">
      <c r="A419" s="88" t="s">
        <v>41</v>
      </c>
      <c r="B419" s="88"/>
      <c r="C419" s="88"/>
      <c r="D419" s="45" t="s">
        <v>124</v>
      </c>
      <c r="E419" s="7"/>
      <c r="F419" s="7"/>
      <c r="G419" s="7"/>
      <c r="H419" s="7"/>
      <c r="I419" s="9"/>
    </row>
    <row r="420" spans="1:11" s="3" customFormat="1" ht="33.75" customHeight="1" x14ac:dyDescent="0.35">
      <c r="A420" s="88" t="s">
        <v>42</v>
      </c>
      <c r="B420" s="88"/>
      <c r="C420" s="88"/>
      <c r="D420" s="45" t="s">
        <v>124</v>
      </c>
      <c r="E420" s="7"/>
      <c r="F420" s="7"/>
      <c r="G420" s="7"/>
      <c r="H420" s="7"/>
      <c r="I420" s="9"/>
    </row>
    <row r="421" spans="1:11" s="3" customFormat="1" ht="33.75" customHeight="1" x14ac:dyDescent="0.35">
      <c r="A421" s="88" t="s">
        <v>43</v>
      </c>
      <c r="B421" s="88"/>
      <c r="C421" s="88"/>
      <c r="D421" s="45" t="s">
        <v>124</v>
      </c>
      <c r="E421" s="7"/>
      <c r="F421" s="7"/>
      <c r="G421" s="7"/>
      <c r="H421" s="7"/>
      <c r="I421" s="9"/>
    </row>
    <row r="422" spans="1:11" ht="54.75" customHeight="1" x14ac:dyDescent="0.25"/>
    <row r="423" spans="1:11" s="15" customFormat="1" ht="36.75" customHeight="1" x14ac:dyDescent="0.4">
      <c r="A423" s="17" t="s">
        <v>78</v>
      </c>
      <c r="B423" s="17"/>
      <c r="C423" s="94" t="s">
        <v>125</v>
      </c>
      <c r="D423" s="94"/>
      <c r="E423" s="94"/>
      <c r="F423" s="94"/>
      <c r="G423" s="94"/>
      <c r="H423" s="94"/>
      <c r="I423" s="94"/>
      <c r="J423" s="94"/>
      <c r="K423" s="16"/>
    </row>
    <row r="424" spans="1:11" s="15" customFormat="1" ht="42.75" customHeight="1" x14ac:dyDescent="0.4">
      <c r="A424" s="17" t="s">
        <v>80</v>
      </c>
      <c r="B424" s="17"/>
      <c r="C424" s="95" t="s">
        <v>107</v>
      </c>
      <c r="D424" s="95"/>
      <c r="E424" s="95"/>
      <c r="F424" s="95"/>
      <c r="G424" s="95"/>
      <c r="H424" s="95"/>
      <c r="I424" s="16"/>
      <c r="J424" s="16"/>
      <c r="K424" s="16"/>
    </row>
    <row r="425" spans="1:11" s="15" customFormat="1" ht="31.5" customHeight="1" x14ac:dyDescent="0.4">
      <c r="A425" s="17"/>
      <c r="B425" s="17"/>
      <c r="C425" s="18"/>
      <c r="D425" s="18"/>
      <c r="E425" s="18"/>
      <c r="F425" s="18"/>
      <c r="G425" s="18"/>
      <c r="H425" s="18"/>
      <c r="I425" s="16"/>
      <c r="J425" s="16"/>
      <c r="K425" s="16"/>
    </row>
    <row r="426" spans="1:11" s="15" customFormat="1" ht="31.5" customHeight="1" x14ac:dyDescent="0.4">
      <c r="A426" s="17" t="s">
        <v>81</v>
      </c>
      <c r="B426" s="17"/>
      <c r="C426" s="94" t="s">
        <v>126</v>
      </c>
      <c r="D426" s="94"/>
      <c r="E426" s="94"/>
      <c r="F426" s="94"/>
      <c r="G426" s="94"/>
      <c r="H426" s="94"/>
      <c r="I426" s="94"/>
      <c r="J426" s="94"/>
      <c r="K426" s="16"/>
    </row>
    <row r="427" spans="1:11" s="15" customFormat="1" ht="46.5" customHeight="1" x14ac:dyDescent="0.4">
      <c r="A427" s="17" t="s">
        <v>80</v>
      </c>
      <c r="B427" s="17"/>
      <c r="C427" s="95" t="s">
        <v>107</v>
      </c>
      <c r="D427" s="95"/>
      <c r="E427" s="95"/>
      <c r="F427" s="95"/>
      <c r="G427" s="95"/>
      <c r="H427" s="95"/>
      <c r="I427" s="16"/>
      <c r="J427" s="16"/>
      <c r="K427" s="16"/>
    </row>
    <row r="429" spans="1:11" ht="66" customHeight="1" x14ac:dyDescent="0.25">
      <c r="A429" s="62" t="s">
        <v>0</v>
      </c>
      <c r="B429" s="62"/>
      <c r="C429" s="62"/>
      <c r="D429" s="62"/>
      <c r="E429" s="62"/>
      <c r="F429" s="62"/>
      <c r="G429" s="62"/>
      <c r="H429" s="62"/>
      <c r="I429" s="62"/>
      <c r="J429" s="62"/>
      <c r="K429" s="62"/>
    </row>
    <row r="430" spans="1:11" ht="27.75" customHeight="1" x14ac:dyDescent="0.3">
      <c r="A430" s="63" t="s">
        <v>1</v>
      </c>
      <c r="B430" s="63"/>
      <c r="C430" s="63"/>
      <c r="D430" s="63"/>
      <c r="E430" s="63"/>
      <c r="F430" s="63"/>
      <c r="G430" s="63"/>
      <c r="H430" s="63"/>
      <c r="I430" s="63"/>
      <c r="J430" s="63"/>
      <c r="K430" s="63"/>
    </row>
    <row r="431" spans="1:11" ht="46.5" customHeight="1" x14ac:dyDescent="0.25">
      <c r="A431" s="64" t="s">
        <v>2</v>
      </c>
      <c r="B431" s="64"/>
      <c r="C431" s="64"/>
      <c r="D431" s="64"/>
      <c r="E431" s="64"/>
      <c r="F431" s="64"/>
      <c r="G431" s="64"/>
      <c r="H431" s="64"/>
      <c r="I431" s="64"/>
      <c r="J431" s="64"/>
      <c r="K431" s="64"/>
    </row>
    <row r="432" spans="1:11" ht="39" customHeight="1" x14ac:dyDescent="0.55000000000000004">
      <c r="A432" s="65" t="s">
        <v>144</v>
      </c>
      <c r="B432" s="65"/>
      <c r="C432" s="65"/>
      <c r="D432" s="65"/>
      <c r="E432" s="65"/>
      <c r="F432" s="65"/>
      <c r="G432" s="65"/>
      <c r="H432" s="65"/>
      <c r="I432" s="65"/>
      <c r="J432" s="65"/>
      <c r="K432" s="65"/>
    </row>
    <row r="433" spans="1:11" ht="31.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s="20" customFormat="1" ht="31.5" customHeight="1" x14ac:dyDescent="0.4">
      <c r="A434" s="19" t="s">
        <v>60</v>
      </c>
      <c r="B434" s="59" t="s">
        <v>146</v>
      </c>
      <c r="C434" s="59"/>
      <c r="D434" s="59"/>
      <c r="E434" s="59"/>
      <c r="F434" s="59"/>
      <c r="G434" s="19" t="s">
        <v>59</v>
      </c>
      <c r="H434" s="47" t="s">
        <v>98</v>
      </c>
      <c r="I434" s="19" t="s">
        <v>75</v>
      </c>
      <c r="J434" s="59" t="str">
        <f>J7</f>
        <v>SS 1</v>
      </c>
      <c r="K434" s="59"/>
    </row>
    <row r="435" spans="1:11" s="20" customFormat="1" ht="31.5" customHeight="1" x14ac:dyDescent="0.4">
      <c r="A435" s="19" t="s">
        <v>61</v>
      </c>
      <c r="B435" s="59" t="s">
        <v>147</v>
      </c>
      <c r="C435" s="59"/>
      <c r="D435" s="19" t="s">
        <v>68</v>
      </c>
      <c r="E435" s="59" t="s">
        <v>148</v>
      </c>
      <c r="F435" s="59"/>
      <c r="G435" s="59"/>
      <c r="H435" s="59"/>
      <c r="I435" s="19" t="s">
        <v>69</v>
      </c>
      <c r="J435" s="59" t="s">
        <v>90</v>
      </c>
      <c r="K435" s="59"/>
    </row>
    <row r="436" spans="1:11" s="20" customFormat="1" ht="35.25" customHeight="1" x14ac:dyDescent="0.4">
      <c r="A436" s="19" t="s">
        <v>63</v>
      </c>
      <c r="B436" s="47" t="s">
        <v>64</v>
      </c>
      <c r="C436" s="47"/>
      <c r="D436" s="47"/>
      <c r="E436" s="55"/>
      <c r="F436" s="19" t="s">
        <v>62</v>
      </c>
      <c r="H436" s="47">
        <f>H9</f>
        <v>17</v>
      </c>
      <c r="I436" s="19" t="s">
        <v>70</v>
      </c>
      <c r="J436" s="59"/>
      <c r="K436" s="59"/>
    </row>
    <row r="437" spans="1:11" s="20" customFormat="1" ht="39" customHeight="1" x14ac:dyDescent="0.4">
      <c r="A437" s="19" t="s">
        <v>71</v>
      </c>
      <c r="B437" s="21" t="str">
        <f>B10</f>
        <v>25th March, 2025</v>
      </c>
      <c r="C437" s="21"/>
      <c r="D437" s="21"/>
      <c r="E437" s="21"/>
      <c r="F437" s="19" t="s">
        <v>73</v>
      </c>
      <c r="G437" s="19"/>
      <c r="H437" s="24" t="str">
        <f>H10</f>
        <v>28th April, 2025</v>
      </c>
      <c r="I437" s="21"/>
      <c r="J437" s="21"/>
      <c r="K437" s="21"/>
    </row>
    <row r="438" spans="1:11" s="20" customFormat="1" ht="39.75" customHeight="1" x14ac:dyDescent="0.4">
      <c r="A438" s="19" t="s">
        <v>72</v>
      </c>
      <c r="B438" s="21"/>
      <c r="C438" s="60"/>
      <c r="D438" s="60"/>
      <c r="E438" s="60"/>
      <c r="F438" s="19" t="s">
        <v>74</v>
      </c>
      <c r="G438" s="19"/>
      <c r="H438" s="61"/>
      <c r="I438" s="61"/>
      <c r="J438" s="61"/>
      <c r="K438" s="61"/>
    </row>
    <row r="439" spans="1:11" s="20" customFormat="1" ht="21" customHeight="1" x14ac:dyDescent="0.4">
      <c r="A439" s="19"/>
      <c r="B439" s="21"/>
      <c r="C439" s="51"/>
      <c r="D439" s="51"/>
      <c r="E439" s="51"/>
      <c r="F439" s="19"/>
      <c r="G439" s="19"/>
      <c r="H439" s="52"/>
      <c r="I439" s="52"/>
      <c r="J439" s="52"/>
      <c r="K439" s="52"/>
    </row>
    <row r="440" spans="1:11" s="20" customFormat="1" ht="34.5" x14ac:dyDescent="0.45">
      <c r="A440" s="19"/>
      <c r="B440" s="67" t="s">
        <v>143</v>
      </c>
      <c r="C440" s="67"/>
      <c r="D440" s="67"/>
      <c r="E440" s="67"/>
      <c r="F440" s="67"/>
      <c r="G440" s="67"/>
      <c r="H440" s="67"/>
      <c r="I440" s="67"/>
      <c r="J440" s="67"/>
      <c r="K440" s="67"/>
    </row>
    <row r="441" spans="1:11" s="14" customFormat="1" ht="36.75" customHeight="1" x14ac:dyDescent="0.45">
      <c r="A441" s="15"/>
      <c r="B441" s="67" t="s">
        <v>5</v>
      </c>
      <c r="C441" s="67"/>
      <c r="D441" s="67"/>
      <c r="E441" s="67"/>
      <c r="F441" s="67"/>
      <c r="G441" s="67"/>
      <c r="H441" s="67"/>
      <c r="I441" s="67"/>
      <c r="J441" s="67"/>
      <c r="K441" s="67"/>
    </row>
    <row r="442" spans="1:11" s="14" customFormat="1" ht="31.5" customHeight="1" x14ac:dyDescent="0.4">
      <c r="B442" s="68" t="s">
        <v>22</v>
      </c>
      <c r="C442" s="69"/>
      <c r="D442" s="69"/>
      <c r="E442" s="69"/>
      <c r="F442" s="49" t="s">
        <v>24</v>
      </c>
      <c r="G442" s="70" t="s">
        <v>25</v>
      </c>
      <c r="H442" s="72" t="s">
        <v>27</v>
      </c>
      <c r="I442" s="75" t="s">
        <v>66</v>
      </c>
      <c r="J442" s="76"/>
      <c r="K442" s="76" t="s">
        <v>29</v>
      </c>
    </row>
    <row r="443" spans="1:11" s="14" customFormat="1" ht="31.5" customHeight="1" x14ac:dyDescent="0.4">
      <c r="B443" s="68" t="s">
        <v>76</v>
      </c>
      <c r="C443" s="79"/>
      <c r="D443" s="26" t="s">
        <v>77</v>
      </c>
      <c r="E443" s="27" t="s">
        <v>77</v>
      </c>
      <c r="F443" s="28" t="s">
        <v>23</v>
      </c>
      <c r="G443" s="71"/>
      <c r="H443" s="73"/>
      <c r="I443" s="75"/>
      <c r="J443" s="77"/>
      <c r="K443" s="77"/>
    </row>
    <row r="444" spans="1:11" s="14" customFormat="1" ht="31.5" customHeight="1" x14ac:dyDescent="0.4">
      <c r="B444" s="80">
        <v>0.05</v>
      </c>
      <c r="C444" s="80">
        <v>0.05</v>
      </c>
      <c r="D444" s="80">
        <v>0.1</v>
      </c>
      <c r="E444" s="80">
        <v>0.1</v>
      </c>
      <c r="F444" s="90">
        <v>0.7</v>
      </c>
      <c r="G444" s="53" t="s">
        <v>26</v>
      </c>
      <c r="H444" s="74"/>
      <c r="I444" s="70"/>
      <c r="J444" s="77"/>
      <c r="K444" s="77"/>
    </row>
    <row r="445" spans="1:11" s="14" customFormat="1" ht="31.5" customHeight="1" x14ac:dyDescent="0.4">
      <c r="A445" s="23" t="s">
        <v>4</v>
      </c>
      <c r="B445" s="81"/>
      <c r="C445" s="81"/>
      <c r="D445" s="81"/>
      <c r="E445" s="81"/>
      <c r="F445" s="91"/>
      <c r="G445" s="29">
        <v>1</v>
      </c>
      <c r="H445" s="28" t="s">
        <v>28</v>
      </c>
      <c r="I445" s="43" t="s">
        <v>65</v>
      </c>
      <c r="J445" s="48" t="s">
        <v>67</v>
      </c>
      <c r="K445" s="78"/>
    </row>
    <row r="446" spans="1:11" s="3" customFormat="1" ht="41.25" customHeight="1" x14ac:dyDescent="0.4">
      <c r="A446" s="57" t="s">
        <v>6</v>
      </c>
      <c r="B446" s="33">
        <v>7</v>
      </c>
      <c r="C446" s="33">
        <v>8</v>
      </c>
      <c r="D446" s="33">
        <v>13</v>
      </c>
      <c r="E446" s="33">
        <v>10</v>
      </c>
      <c r="F446" s="33">
        <v>22</v>
      </c>
      <c r="G446" s="31">
        <f t="shared" ref="G446:G455" si="21">SUM(B446:F446)</f>
        <v>60</v>
      </c>
      <c r="H446" s="38">
        <v>60</v>
      </c>
      <c r="I446" s="32" t="s">
        <v>113</v>
      </c>
      <c r="J446" s="33" t="str">
        <f>IF(G446&gt;=70,"A",IF(G446&gt;=60,"B",IF(G446&gt;=50,"C",IF(G446&gt;=45,"D",IF(G446&gt;=40,"E",IF(G446&lt;=39,"F"))))))</f>
        <v>B</v>
      </c>
      <c r="K446" s="34" t="str">
        <f>IF(G446&gt;=70,"EXCELLENT",IF(G446&gt;=60,"V.GOOD",IF(G446&gt;=50,"GOOD",IF(G446&gt;=45,"PASS",IF(G446&gt;=40,"FAIR",IF(G446&lt;=39,"FAIL"))))))</f>
        <v>V.GOOD</v>
      </c>
    </row>
    <row r="447" spans="1:11" s="3" customFormat="1" ht="41.25" customHeight="1" x14ac:dyDescent="0.4">
      <c r="A447" s="57" t="s">
        <v>7</v>
      </c>
      <c r="B447" s="33">
        <v>9</v>
      </c>
      <c r="C447" s="33">
        <v>7</v>
      </c>
      <c r="D447" s="33">
        <v>10</v>
      </c>
      <c r="E447" s="33">
        <v>10</v>
      </c>
      <c r="F447" s="33">
        <v>16</v>
      </c>
      <c r="G447" s="33">
        <f t="shared" si="21"/>
        <v>52</v>
      </c>
      <c r="H447" s="39">
        <v>58.9</v>
      </c>
      <c r="I447" s="25" t="s">
        <v>118</v>
      </c>
      <c r="J447" s="33" t="str">
        <f t="shared" ref="J447:J455" si="22">IF(G447&gt;=70,"A",IF(G447&gt;=60,"B",IF(G447&gt;=50,"C",IF(G447&gt;=45,"D",IF(G447&gt;=40,"E",IF(G447&lt;=39,"F"))))))</f>
        <v>C</v>
      </c>
      <c r="K447" s="34" t="str">
        <f t="shared" ref="K447:K455" si="23">IF(G447&gt;=70,"EXCELLENT",IF(G447&gt;=60,"V.GOOD",IF(G447&gt;=50,"GOOD",IF(G447&gt;=45,"PASS",IF(G447&gt;=40,"FAIR",IF(G447&lt;=39,"FAIL"))))))</f>
        <v>GOOD</v>
      </c>
    </row>
    <row r="448" spans="1:11" s="3" customFormat="1" ht="41.25" customHeight="1" x14ac:dyDescent="0.4">
      <c r="A448" s="57" t="s">
        <v>152</v>
      </c>
      <c r="B448" s="33">
        <v>4</v>
      </c>
      <c r="C448" s="33">
        <v>4</v>
      </c>
      <c r="D448" s="33">
        <v>14</v>
      </c>
      <c r="E448" s="33">
        <v>12</v>
      </c>
      <c r="F448" s="33">
        <v>14</v>
      </c>
      <c r="G448" s="33">
        <f t="shared" si="21"/>
        <v>48</v>
      </c>
      <c r="H448" s="39">
        <v>51.8</v>
      </c>
      <c r="I448" s="25" t="s">
        <v>118</v>
      </c>
      <c r="J448" s="33" t="str">
        <f t="shared" si="22"/>
        <v>D</v>
      </c>
      <c r="K448" s="34" t="str">
        <f t="shared" si="23"/>
        <v>PASS</v>
      </c>
    </row>
    <row r="449" spans="1:11" s="3" customFormat="1" ht="41.25" customHeight="1" x14ac:dyDescent="0.4">
      <c r="A449" s="57" t="s">
        <v>153</v>
      </c>
      <c r="B449" s="33">
        <v>10</v>
      </c>
      <c r="C449" s="33">
        <v>10</v>
      </c>
      <c r="D449" s="33">
        <v>16</v>
      </c>
      <c r="E449" s="33">
        <v>15</v>
      </c>
      <c r="F449" s="33">
        <v>18</v>
      </c>
      <c r="G449" s="33">
        <f t="shared" si="21"/>
        <v>69</v>
      </c>
      <c r="H449" s="39">
        <v>72.599999999999994</v>
      </c>
      <c r="I449" s="25" t="s">
        <v>120</v>
      </c>
      <c r="J449" s="33" t="str">
        <f t="shared" si="22"/>
        <v>B</v>
      </c>
      <c r="K449" s="34" t="str">
        <f t="shared" si="23"/>
        <v>V.GOOD</v>
      </c>
    </row>
    <row r="450" spans="1:11" s="3" customFormat="1" ht="41.25" customHeight="1" x14ac:dyDescent="0.4">
      <c r="A450" s="57" t="s">
        <v>154</v>
      </c>
      <c r="B450" s="33">
        <v>6</v>
      </c>
      <c r="C450" s="33">
        <v>5</v>
      </c>
      <c r="D450" s="33">
        <v>14</v>
      </c>
      <c r="E450" s="33">
        <v>13</v>
      </c>
      <c r="F450" s="33">
        <v>36</v>
      </c>
      <c r="G450" s="33">
        <f t="shared" si="21"/>
        <v>74</v>
      </c>
      <c r="H450" s="39">
        <v>71.400000000000006</v>
      </c>
      <c r="I450" s="25" t="s">
        <v>113</v>
      </c>
      <c r="J450" s="33" t="str">
        <f t="shared" si="22"/>
        <v>A</v>
      </c>
      <c r="K450" s="34" t="str">
        <f t="shared" si="23"/>
        <v>EXCELLENT</v>
      </c>
    </row>
    <row r="451" spans="1:11" s="3" customFormat="1" ht="41.25" customHeight="1" x14ac:dyDescent="0.4">
      <c r="A451" s="57" t="s">
        <v>13</v>
      </c>
      <c r="B451" s="33">
        <v>4</v>
      </c>
      <c r="C451" s="33">
        <v>6</v>
      </c>
      <c r="D451" s="33">
        <v>6</v>
      </c>
      <c r="E451" s="33">
        <v>10</v>
      </c>
      <c r="F451" s="33">
        <v>25</v>
      </c>
      <c r="G451" s="33">
        <f t="shared" si="21"/>
        <v>51</v>
      </c>
      <c r="H451" s="39">
        <v>54.7</v>
      </c>
      <c r="I451" s="25" t="s">
        <v>118</v>
      </c>
      <c r="J451" s="33" t="str">
        <f t="shared" si="22"/>
        <v>C</v>
      </c>
      <c r="K451" s="34" t="str">
        <f t="shared" si="23"/>
        <v>GOOD</v>
      </c>
    </row>
    <row r="452" spans="1:11" s="3" customFormat="1" ht="41.25" customHeight="1" x14ac:dyDescent="0.4">
      <c r="A452" s="57" t="s">
        <v>155</v>
      </c>
      <c r="B452" s="33">
        <v>10</v>
      </c>
      <c r="C452" s="33">
        <v>9</v>
      </c>
      <c r="D452" s="33">
        <v>10</v>
      </c>
      <c r="E452" s="33">
        <v>12</v>
      </c>
      <c r="F452" s="33">
        <v>18</v>
      </c>
      <c r="G452" s="33">
        <f t="shared" si="21"/>
        <v>59</v>
      </c>
      <c r="H452" s="39">
        <v>65.2</v>
      </c>
      <c r="I452" s="25" t="s">
        <v>119</v>
      </c>
      <c r="J452" s="33" t="str">
        <f t="shared" si="22"/>
        <v>C</v>
      </c>
      <c r="K452" s="34" t="str">
        <f t="shared" si="23"/>
        <v>GOOD</v>
      </c>
    </row>
    <row r="453" spans="1:11" s="3" customFormat="1" ht="41.25" customHeight="1" x14ac:dyDescent="0.4">
      <c r="A453" s="57" t="s">
        <v>156</v>
      </c>
      <c r="B453" s="33">
        <v>5</v>
      </c>
      <c r="C453" s="33">
        <v>8</v>
      </c>
      <c r="D453" s="33">
        <v>9</v>
      </c>
      <c r="E453" s="33">
        <v>14</v>
      </c>
      <c r="F453" s="33">
        <v>26</v>
      </c>
      <c r="G453" s="33">
        <f t="shared" si="21"/>
        <v>62</v>
      </c>
      <c r="H453" s="39">
        <v>71.25</v>
      </c>
      <c r="I453" s="25" t="s">
        <v>119</v>
      </c>
      <c r="J453" s="33" t="str">
        <f t="shared" si="22"/>
        <v>B</v>
      </c>
      <c r="K453" s="34" t="str">
        <f t="shared" si="23"/>
        <v>V.GOOD</v>
      </c>
    </row>
    <row r="454" spans="1:11" s="3" customFormat="1" ht="41.25" customHeight="1" x14ac:dyDescent="0.4">
      <c r="A454" s="57" t="s">
        <v>157</v>
      </c>
      <c r="B454" s="33">
        <v>8</v>
      </c>
      <c r="C454" s="33">
        <v>10</v>
      </c>
      <c r="D454" s="33">
        <v>17</v>
      </c>
      <c r="E454" s="33">
        <v>20</v>
      </c>
      <c r="F454" s="33">
        <v>36</v>
      </c>
      <c r="G454" s="33">
        <f t="shared" si="21"/>
        <v>91</v>
      </c>
      <c r="H454" s="39">
        <v>79.5</v>
      </c>
      <c r="I454" s="25" t="s">
        <v>115</v>
      </c>
      <c r="J454" s="33" t="str">
        <f t="shared" si="22"/>
        <v>A</v>
      </c>
      <c r="K454" s="34" t="str">
        <f t="shared" si="23"/>
        <v>EXCELLENT</v>
      </c>
    </row>
    <row r="455" spans="1:11" s="3" customFormat="1" ht="41.25" customHeight="1" x14ac:dyDescent="0.4">
      <c r="A455" s="57" t="s">
        <v>158</v>
      </c>
      <c r="B455" s="33">
        <v>8</v>
      </c>
      <c r="C455" s="33">
        <v>7</v>
      </c>
      <c r="D455" s="33">
        <v>15</v>
      </c>
      <c r="E455" s="33">
        <v>15</v>
      </c>
      <c r="F455" s="33">
        <v>26</v>
      </c>
      <c r="G455" s="33">
        <f t="shared" si="21"/>
        <v>71</v>
      </c>
      <c r="H455" s="39">
        <v>66.08</v>
      </c>
      <c r="I455" s="25" t="s">
        <v>116</v>
      </c>
      <c r="J455" s="33" t="str">
        <f t="shared" si="22"/>
        <v>A</v>
      </c>
      <c r="K455" s="34" t="str">
        <f t="shared" si="23"/>
        <v>EXCELLENT</v>
      </c>
    </row>
    <row r="456" spans="1:11" s="3" customFormat="1" ht="41.25" customHeight="1" x14ac:dyDescent="0.4">
      <c r="A456" s="58"/>
      <c r="B456" s="33"/>
      <c r="C456" s="33"/>
      <c r="D456" s="33"/>
      <c r="E456" s="33"/>
      <c r="F456" s="33"/>
      <c r="G456" s="33"/>
      <c r="H456" s="39"/>
      <c r="I456" s="25"/>
      <c r="J456" s="33"/>
      <c r="K456" s="34"/>
    </row>
    <row r="457" spans="1:11" s="3" customFormat="1" ht="41.25" customHeight="1" x14ac:dyDescent="0.4">
      <c r="A457" s="58"/>
      <c r="B457" s="33"/>
      <c r="C457" s="33"/>
      <c r="D457" s="33"/>
      <c r="E457" s="33"/>
      <c r="F457" s="33"/>
      <c r="G457" s="33"/>
      <c r="H457" s="39"/>
      <c r="I457" s="25"/>
      <c r="J457" s="33"/>
      <c r="K457" s="34"/>
    </row>
    <row r="458" spans="1:11" s="3" customFormat="1" ht="41.25" customHeight="1" x14ac:dyDescent="0.4">
      <c r="A458" s="58"/>
      <c r="B458" s="33"/>
      <c r="C458" s="33"/>
      <c r="D458" s="33"/>
      <c r="E458" s="33"/>
      <c r="F458" s="33"/>
      <c r="G458" s="33"/>
      <c r="H458" s="39"/>
      <c r="I458" s="25"/>
      <c r="J458" s="33"/>
      <c r="K458" s="34"/>
    </row>
    <row r="459" spans="1:11" s="3" customFormat="1" ht="41.25" customHeight="1" x14ac:dyDescent="0.4">
      <c r="A459" s="58"/>
      <c r="B459" s="33"/>
      <c r="C459" s="33"/>
      <c r="D459" s="33"/>
      <c r="E459" s="33"/>
      <c r="F459" s="33"/>
      <c r="G459" s="33"/>
      <c r="H459" s="39"/>
      <c r="I459" s="25"/>
      <c r="J459" s="33"/>
      <c r="K459" s="34"/>
    </row>
    <row r="460" spans="1:11" s="3" customFormat="1" ht="41.25" customHeight="1" x14ac:dyDescent="0.4">
      <c r="A460" s="58"/>
      <c r="B460" s="33"/>
      <c r="C460" s="33"/>
      <c r="D460" s="33"/>
      <c r="E460" s="33"/>
      <c r="F460" s="33"/>
      <c r="G460" s="33"/>
      <c r="H460" s="39"/>
      <c r="I460" s="25"/>
      <c r="J460" s="33"/>
      <c r="K460" s="34"/>
    </row>
    <row r="461" spans="1:11" s="3" customFormat="1" ht="41.25" customHeight="1" x14ac:dyDescent="0.4">
      <c r="A461" s="58"/>
      <c r="B461" s="33"/>
      <c r="C461" s="33"/>
      <c r="D461" s="33"/>
      <c r="E461" s="33"/>
      <c r="F461" s="33"/>
      <c r="G461" s="33"/>
      <c r="H461" s="39"/>
      <c r="I461" s="25"/>
      <c r="J461" s="33"/>
      <c r="K461" s="34"/>
    </row>
    <row r="462" spans="1:11" s="3" customFormat="1" ht="41.25" customHeight="1" x14ac:dyDescent="0.4">
      <c r="A462" s="58"/>
      <c r="B462" s="33"/>
      <c r="C462" s="33"/>
      <c r="D462" s="33"/>
      <c r="E462" s="33"/>
      <c r="F462" s="33"/>
      <c r="G462" s="33"/>
      <c r="H462" s="39"/>
      <c r="I462" s="25"/>
      <c r="J462" s="33"/>
      <c r="K462" s="34"/>
    </row>
    <row r="463" spans="1:11" s="3" customFormat="1" ht="41.25" customHeight="1" x14ac:dyDescent="0.4">
      <c r="A463" s="4"/>
      <c r="B463" s="33"/>
      <c r="C463" s="33"/>
      <c r="D463" s="33"/>
      <c r="E463" s="33"/>
      <c r="F463" s="33"/>
      <c r="G463" s="33"/>
      <c r="H463" s="25"/>
      <c r="I463" s="25"/>
      <c r="J463" s="25"/>
      <c r="K463" s="35"/>
    </row>
    <row r="464" spans="1:11" s="3" customFormat="1" ht="41.25" customHeight="1" x14ac:dyDescent="0.4">
      <c r="A464" s="4"/>
      <c r="B464" s="33"/>
      <c r="C464" s="33"/>
      <c r="D464" s="33"/>
      <c r="E464" s="33"/>
      <c r="F464" s="33"/>
      <c r="G464" s="33"/>
      <c r="H464" s="25"/>
      <c r="I464" s="25"/>
      <c r="J464" s="25"/>
      <c r="K464" s="35"/>
    </row>
    <row r="465" spans="1:11" s="3" customFormat="1" ht="31.5" customHeight="1" x14ac:dyDescent="0.35">
      <c r="A465" s="5"/>
    </row>
    <row r="466" spans="1:11" s="3" customFormat="1" ht="31.5" customHeight="1" x14ac:dyDescent="0.45">
      <c r="A466" s="56" t="s">
        <v>58</v>
      </c>
      <c r="B466" s="36">
        <f>SUM(G446:G462)</f>
        <v>637</v>
      </c>
      <c r="C466" s="22"/>
      <c r="D466" s="22"/>
      <c r="E466" s="37"/>
      <c r="F466" s="83" t="s">
        <v>49</v>
      </c>
      <c r="G466" s="83"/>
      <c r="H466" s="93">
        <f>B466</f>
        <v>637</v>
      </c>
      <c r="I466" s="93"/>
      <c r="J466" s="92" t="s">
        <v>50</v>
      </c>
      <c r="K466" s="82">
        <f>H466/17</f>
        <v>37.470588235294116</v>
      </c>
    </row>
    <row r="467" spans="1:11" s="3" customFormat="1" ht="31.5" customHeight="1" x14ac:dyDescent="0.45">
      <c r="A467" s="37"/>
      <c r="B467" s="22"/>
      <c r="C467" s="22"/>
      <c r="D467" s="22"/>
      <c r="E467" s="37"/>
      <c r="F467" s="37"/>
      <c r="G467" s="37"/>
      <c r="H467" s="83">
        <v>17</v>
      </c>
      <c r="I467" s="83"/>
      <c r="J467" s="92"/>
      <c r="K467" s="82"/>
    </row>
    <row r="468" spans="1:11" s="3" customFormat="1" ht="31.5" customHeight="1" x14ac:dyDescent="0.35">
      <c r="A468" s="5"/>
      <c r="E468" s="5"/>
      <c r="F468" s="5"/>
      <c r="G468" s="5"/>
      <c r="H468" s="8"/>
      <c r="I468" s="8"/>
      <c r="J468" s="12"/>
      <c r="K468" s="13"/>
    </row>
    <row r="469" spans="1:11" s="3" customFormat="1" ht="33.75" customHeight="1" x14ac:dyDescent="0.35">
      <c r="A469" s="5"/>
      <c r="D469" s="84" t="s">
        <v>30</v>
      </c>
      <c r="E469" s="84"/>
      <c r="F469" s="84"/>
      <c r="G469" s="84"/>
      <c r="H469" s="84"/>
    </row>
    <row r="470" spans="1:11" s="3" customFormat="1" ht="33.75" customHeight="1" x14ac:dyDescent="0.35">
      <c r="A470" s="85" t="s">
        <v>31</v>
      </c>
      <c r="B470" s="86"/>
      <c r="C470" s="87"/>
      <c r="D470" s="41" t="s">
        <v>44</v>
      </c>
      <c r="E470" s="41" t="s">
        <v>45</v>
      </c>
      <c r="F470" s="41" t="s">
        <v>46</v>
      </c>
      <c r="G470" s="41" t="s">
        <v>47</v>
      </c>
      <c r="H470" s="41" t="s">
        <v>48</v>
      </c>
      <c r="I470" s="9"/>
      <c r="J470" s="11" t="s">
        <v>51</v>
      </c>
      <c r="K470" s="5"/>
    </row>
    <row r="471" spans="1:11" s="3" customFormat="1" ht="33.75" customHeight="1" x14ac:dyDescent="0.35">
      <c r="A471" s="88" t="s">
        <v>32</v>
      </c>
      <c r="B471" s="88"/>
      <c r="C471" s="88"/>
      <c r="D471" s="45" t="s">
        <v>124</v>
      </c>
      <c r="E471" s="7"/>
      <c r="F471" s="7"/>
      <c r="G471" s="7"/>
      <c r="H471" s="7"/>
      <c r="I471" s="9"/>
      <c r="J471" s="5" t="s">
        <v>52</v>
      </c>
      <c r="K471" s="5"/>
    </row>
    <row r="472" spans="1:11" s="3" customFormat="1" ht="33.75" customHeight="1" x14ac:dyDescent="0.35">
      <c r="A472" s="88" t="s">
        <v>33</v>
      </c>
      <c r="B472" s="88"/>
      <c r="C472" s="88"/>
      <c r="D472" s="7"/>
      <c r="E472" s="45" t="s">
        <v>124</v>
      </c>
      <c r="F472" s="7"/>
      <c r="G472" s="7"/>
      <c r="H472" s="7"/>
      <c r="I472" s="9"/>
      <c r="J472" s="5" t="s">
        <v>53</v>
      </c>
      <c r="K472" s="5"/>
    </row>
    <row r="473" spans="1:11" s="3" customFormat="1" ht="33.75" customHeight="1" x14ac:dyDescent="0.35">
      <c r="A473" s="88" t="s">
        <v>34</v>
      </c>
      <c r="B473" s="88"/>
      <c r="C473" s="88"/>
      <c r="D473" s="7"/>
      <c r="E473" s="45" t="s">
        <v>124</v>
      </c>
      <c r="F473" s="7"/>
      <c r="G473" s="7"/>
      <c r="H473" s="7"/>
      <c r="I473" s="9"/>
      <c r="J473" s="5" t="s">
        <v>54</v>
      </c>
      <c r="K473" s="5"/>
    </row>
    <row r="474" spans="1:11" s="3" customFormat="1" ht="33.75" customHeight="1" x14ac:dyDescent="0.35">
      <c r="A474" s="88" t="s">
        <v>35</v>
      </c>
      <c r="B474" s="88"/>
      <c r="C474" s="88"/>
      <c r="D474" s="7"/>
      <c r="E474" s="45" t="s">
        <v>124</v>
      </c>
      <c r="F474" s="7"/>
      <c r="G474" s="7"/>
      <c r="H474" s="7"/>
      <c r="I474" s="9"/>
      <c r="J474" s="5" t="s">
        <v>55</v>
      </c>
      <c r="K474" s="5"/>
    </row>
    <row r="475" spans="1:11" s="3" customFormat="1" ht="33.75" customHeight="1" x14ac:dyDescent="0.35">
      <c r="A475" s="88" t="s">
        <v>36</v>
      </c>
      <c r="B475" s="88"/>
      <c r="C475" s="88"/>
      <c r="D475" s="7"/>
      <c r="E475" s="45" t="s">
        <v>124</v>
      </c>
      <c r="F475" s="7"/>
      <c r="G475" s="7"/>
      <c r="H475" s="7"/>
      <c r="I475" s="9"/>
      <c r="J475" s="5" t="s">
        <v>56</v>
      </c>
      <c r="K475" s="5"/>
    </row>
    <row r="476" spans="1:11" s="3" customFormat="1" ht="33.75" customHeight="1" x14ac:dyDescent="0.35">
      <c r="A476" s="88" t="s">
        <v>37</v>
      </c>
      <c r="B476" s="88"/>
      <c r="C476" s="88"/>
      <c r="D476" s="7"/>
      <c r="E476" s="45" t="s">
        <v>124</v>
      </c>
      <c r="F476" s="7"/>
      <c r="G476" s="7"/>
      <c r="H476" s="7"/>
      <c r="I476" s="9"/>
      <c r="J476" s="5" t="s">
        <v>57</v>
      </c>
      <c r="K476" s="5"/>
    </row>
    <row r="477" spans="1:11" s="3" customFormat="1" ht="33.75" customHeight="1" x14ac:dyDescent="0.35">
      <c r="A477" s="88" t="s">
        <v>38</v>
      </c>
      <c r="B477" s="88"/>
      <c r="C477" s="88"/>
      <c r="D477" s="45" t="s">
        <v>124</v>
      </c>
      <c r="E477" s="7"/>
      <c r="F477" s="7"/>
      <c r="G477" s="7"/>
      <c r="H477" s="7"/>
      <c r="I477" s="9"/>
    </row>
    <row r="478" spans="1:11" s="3" customFormat="1" ht="33.75" customHeight="1" x14ac:dyDescent="0.35">
      <c r="A478" s="88" t="s">
        <v>39</v>
      </c>
      <c r="B478" s="88"/>
      <c r="C478" s="88"/>
      <c r="D478" s="45" t="s">
        <v>124</v>
      </c>
      <c r="E478" s="7"/>
      <c r="F478" s="7"/>
      <c r="G478" s="7"/>
      <c r="H478" s="7"/>
      <c r="I478" s="9"/>
    </row>
    <row r="479" spans="1:11" s="3" customFormat="1" ht="33.75" customHeight="1" x14ac:dyDescent="0.35">
      <c r="A479" s="88" t="s">
        <v>40</v>
      </c>
      <c r="B479" s="88"/>
      <c r="C479" s="88"/>
      <c r="D479" s="45" t="s">
        <v>124</v>
      </c>
      <c r="E479" s="7"/>
      <c r="F479" s="7"/>
      <c r="G479" s="7"/>
      <c r="H479" s="7"/>
      <c r="I479" s="9"/>
    </row>
    <row r="480" spans="1:11" s="3" customFormat="1" ht="33.75" customHeight="1" x14ac:dyDescent="0.35">
      <c r="A480" s="88" t="s">
        <v>41</v>
      </c>
      <c r="B480" s="88"/>
      <c r="C480" s="88"/>
      <c r="D480" s="45" t="s">
        <v>124</v>
      </c>
      <c r="E480" s="7"/>
      <c r="F480" s="7"/>
      <c r="G480" s="7"/>
      <c r="H480" s="7"/>
      <c r="I480" s="9"/>
    </row>
    <row r="481" spans="1:11" s="3" customFormat="1" ht="33.75" customHeight="1" x14ac:dyDescent="0.35">
      <c r="A481" s="88" t="s">
        <v>42</v>
      </c>
      <c r="B481" s="88"/>
      <c r="C481" s="88"/>
      <c r="D481" s="7"/>
      <c r="E481" s="45" t="s">
        <v>124</v>
      </c>
      <c r="F481" s="7"/>
      <c r="G481" s="7"/>
      <c r="H481" s="7"/>
      <c r="I481" s="9"/>
    </row>
    <row r="482" spans="1:11" s="3" customFormat="1" ht="33.75" customHeight="1" x14ac:dyDescent="0.35">
      <c r="A482" s="88" t="s">
        <v>43</v>
      </c>
      <c r="B482" s="88"/>
      <c r="C482" s="88"/>
      <c r="D482" s="45" t="s">
        <v>124</v>
      </c>
      <c r="E482" s="7"/>
      <c r="F482" s="7"/>
      <c r="G482" s="7"/>
      <c r="H482" s="7"/>
      <c r="I482" s="9"/>
    </row>
    <row r="483" spans="1:11" ht="54.75" customHeight="1" x14ac:dyDescent="0.25"/>
    <row r="484" spans="1:11" s="15" customFormat="1" ht="36.75" customHeight="1" x14ac:dyDescent="0.4">
      <c r="A484" s="17" t="s">
        <v>78</v>
      </c>
      <c r="B484" s="17"/>
      <c r="C484" s="94" t="s">
        <v>125</v>
      </c>
      <c r="D484" s="94"/>
      <c r="E484" s="94"/>
      <c r="F484" s="94"/>
      <c r="G484" s="94"/>
      <c r="H484" s="94"/>
      <c r="I484" s="94"/>
      <c r="J484" s="94"/>
      <c r="K484" s="16"/>
    </row>
    <row r="485" spans="1:11" s="15" customFormat="1" ht="42.75" customHeight="1" x14ac:dyDescent="0.4">
      <c r="A485" s="17" t="s">
        <v>80</v>
      </c>
      <c r="B485" s="17"/>
      <c r="C485" s="95" t="s">
        <v>107</v>
      </c>
      <c r="D485" s="95"/>
      <c r="E485" s="95"/>
      <c r="F485" s="95"/>
      <c r="G485" s="95"/>
      <c r="H485" s="95"/>
      <c r="I485" s="16"/>
      <c r="J485" s="16"/>
      <c r="K485" s="16"/>
    </row>
    <row r="486" spans="1:11" s="15" customFormat="1" ht="31.5" customHeight="1" x14ac:dyDescent="0.4">
      <c r="A486" s="17"/>
      <c r="B486" s="17"/>
      <c r="C486" s="18"/>
      <c r="D486" s="18"/>
      <c r="E486" s="18"/>
      <c r="F486" s="18"/>
      <c r="G486" s="18"/>
      <c r="H486" s="18"/>
      <c r="I486" s="16"/>
      <c r="J486" s="16"/>
      <c r="K486" s="16"/>
    </row>
    <row r="487" spans="1:11" s="15" customFormat="1" ht="31.5" customHeight="1" x14ac:dyDescent="0.4">
      <c r="A487" s="17" t="s">
        <v>81</v>
      </c>
      <c r="B487" s="17"/>
      <c r="C487" s="94" t="s">
        <v>126</v>
      </c>
      <c r="D487" s="94"/>
      <c r="E487" s="94"/>
      <c r="F487" s="94"/>
      <c r="G487" s="94"/>
      <c r="H487" s="94"/>
      <c r="I487" s="94"/>
      <c r="J487" s="94"/>
      <c r="K487" s="16"/>
    </row>
    <row r="488" spans="1:11" s="15" customFormat="1" ht="46.5" customHeight="1" x14ac:dyDescent="0.4">
      <c r="A488" s="17" t="s">
        <v>80</v>
      </c>
      <c r="B488" s="17"/>
      <c r="C488" s="95" t="s">
        <v>107</v>
      </c>
      <c r="D488" s="95"/>
      <c r="E488" s="95"/>
      <c r="F488" s="95"/>
      <c r="G488" s="95"/>
      <c r="H488" s="95"/>
      <c r="I488" s="16"/>
      <c r="J488" s="16"/>
      <c r="K488" s="16"/>
    </row>
    <row r="490" spans="1:11" ht="66" customHeight="1" x14ac:dyDescent="0.25">
      <c r="A490" s="62" t="s">
        <v>0</v>
      </c>
      <c r="B490" s="62"/>
      <c r="C490" s="62"/>
      <c r="D490" s="62"/>
      <c r="E490" s="62"/>
      <c r="F490" s="62"/>
      <c r="G490" s="62"/>
      <c r="H490" s="62"/>
      <c r="I490" s="62"/>
      <c r="J490" s="62"/>
      <c r="K490" s="62"/>
    </row>
    <row r="491" spans="1:11" ht="27.75" customHeight="1" x14ac:dyDescent="0.3">
      <c r="A491" s="63" t="s">
        <v>1</v>
      </c>
      <c r="B491" s="63"/>
      <c r="C491" s="63"/>
      <c r="D491" s="63"/>
      <c r="E491" s="63"/>
      <c r="F491" s="63"/>
      <c r="G491" s="63"/>
      <c r="H491" s="63"/>
      <c r="I491" s="63"/>
      <c r="J491" s="63"/>
      <c r="K491" s="63"/>
    </row>
    <row r="492" spans="1:11" ht="46.5" customHeight="1" x14ac:dyDescent="0.25">
      <c r="A492" s="64" t="s">
        <v>2</v>
      </c>
      <c r="B492" s="64"/>
      <c r="C492" s="64"/>
      <c r="D492" s="64"/>
      <c r="E492" s="64"/>
      <c r="F492" s="64"/>
      <c r="G492" s="64"/>
      <c r="H492" s="64"/>
      <c r="I492" s="64"/>
      <c r="J492" s="64"/>
      <c r="K492" s="64"/>
    </row>
    <row r="493" spans="1:11" ht="39" customHeight="1" x14ac:dyDescent="0.55000000000000004">
      <c r="A493" s="65" t="s">
        <v>144</v>
      </c>
      <c r="B493" s="65"/>
      <c r="C493" s="65"/>
      <c r="D493" s="65"/>
      <c r="E493" s="65"/>
      <c r="F493" s="65"/>
      <c r="G493" s="65"/>
      <c r="H493" s="65"/>
      <c r="I493" s="65"/>
      <c r="J493" s="65"/>
      <c r="K493" s="65"/>
    </row>
    <row r="494" spans="1:11" ht="31.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s="20" customFormat="1" ht="31.5" customHeight="1" x14ac:dyDescent="0.4">
      <c r="A495" s="19" t="s">
        <v>60</v>
      </c>
      <c r="B495" s="59" t="s">
        <v>151</v>
      </c>
      <c r="C495" s="59"/>
      <c r="D495" s="59"/>
      <c r="E495" s="59"/>
      <c r="F495" s="59"/>
      <c r="G495" s="19" t="s">
        <v>59</v>
      </c>
      <c r="H495" s="47" t="s">
        <v>100</v>
      </c>
      <c r="I495" s="19" t="s">
        <v>75</v>
      </c>
      <c r="J495" s="59" t="str">
        <f>J7</f>
        <v>SS 1</v>
      </c>
      <c r="K495" s="59"/>
    </row>
    <row r="496" spans="1:11" s="20" customFormat="1" ht="31.5" customHeight="1" x14ac:dyDescent="0.4">
      <c r="A496" s="19" t="s">
        <v>61</v>
      </c>
      <c r="B496" s="59" t="s">
        <v>149</v>
      </c>
      <c r="C496" s="59"/>
      <c r="D496" s="19" t="s">
        <v>68</v>
      </c>
      <c r="E496" s="59" t="s">
        <v>150</v>
      </c>
      <c r="F496" s="59"/>
      <c r="G496" s="59"/>
      <c r="H496" s="59"/>
      <c r="I496" s="19" t="s">
        <v>69</v>
      </c>
      <c r="J496" s="59" t="s">
        <v>85</v>
      </c>
      <c r="K496" s="59"/>
    </row>
    <row r="497" spans="1:11" s="20" customFormat="1" ht="35.25" customHeight="1" x14ac:dyDescent="0.4">
      <c r="A497" s="19" t="s">
        <v>63</v>
      </c>
      <c r="B497" s="47" t="s">
        <v>64</v>
      </c>
      <c r="C497" s="47"/>
      <c r="D497" s="47"/>
      <c r="E497" s="55"/>
      <c r="F497" s="19" t="s">
        <v>62</v>
      </c>
      <c r="H497" s="47">
        <f>H9</f>
        <v>17</v>
      </c>
      <c r="I497" s="19" t="s">
        <v>70</v>
      </c>
      <c r="J497" s="59"/>
      <c r="K497" s="59"/>
    </row>
    <row r="498" spans="1:11" s="20" customFormat="1" ht="39" customHeight="1" x14ac:dyDescent="0.4">
      <c r="A498" s="19" t="s">
        <v>71</v>
      </c>
      <c r="B498" s="21" t="str">
        <f>B10</f>
        <v>25th March, 2025</v>
      </c>
      <c r="C498" s="21"/>
      <c r="D498" s="21"/>
      <c r="E498" s="21"/>
      <c r="F498" s="19" t="s">
        <v>73</v>
      </c>
      <c r="G498" s="19"/>
      <c r="H498" s="24" t="str">
        <f>H10</f>
        <v>28th April, 2025</v>
      </c>
      <c r="I498" s="21"/>
      <c r="J498" s="21"/>
      <c r="K498" s="21"/>
    </row>
    <row r="499" spans="1:11" s="20" customFormat="1" ht="39.75" customHeight="1" x14ac:dyDescent="0.4">
      <c r="A499" s="19" t="s">
        <v>72</v>
      </c>
      <c r="B499" s="21"/>
      <c r="C499" s="60"/>
      <c r="D499" s="60"/>
      <c r="E499" s="60"/>
      <c r="F499" s="19" t="s">
        <v>74</v>
      </c>
      <c r="G499" s="19"/>
      <c r="H499" s="61"/>
      <c r="I499" s="61"/>
      <c r="J499" s="61"/>
      <c r="K499" s="61"/>
    </row>
    <row r="500" spans="1:11" s="20" customFormat="1" ht="21" customHeight="1" x14ac:dyDescent="0.4">
      <c r="A500" s="19"/>
      <c r="B500" s="21"/>
      <c r="C500" s="51"/>
      <c r="D500" s="51"/>
      <c r="E500" s="51"/>
      <c r="F500" s="19"/>
      <c r="G500" s="19"/>
      <c r="H500" s="52"/>
      <c r="I500" s="52"/>
      <c r="J500" s="52"/>
      <c r="K500" s="52"/>
    </row>
    <row r="501" spans="1:11" s="20" customFormat="1" ht="34.5" x14ac:dyDescent="0.45">
      <c r="A501" s="19"/>
      <c r="B501" s="67" t="s">
        <v>143</v>
      </c>
      <c r="C501" s="67"/>
      <c r="D501" s="67"/>
      <c r="E501" s="67"/>
      <c r="F501" s="67"/>
      <c r="G501" s="67"/>
      <c r="H501" s="67"/>
      <c r="I501" s="67"/>
      <c r="J501" s="67"/>
      <c r="K501" s="67"/>
    </row>
    <row r="502" spans="1:11" s="14" customFormat="1" ht="36.75" customHeight="1" x14ac:dyDescent="0.45">
      <c r="A502" s="15"/>
      <c r="B502" s="67" t="s">
        <v>5</v>
      </c>
      <c r="C502" s="67"/>
      <c r="D502" s="67"/>
      <c r="E502" s="67"/>
      <c r="F502" s="67"/>
      <c r="G502" s="67"/>
      <c r="H502" s="67"/>
      <c r="I502" s="67"/>
      <c r="J502" s="67"/>
      <c r="K502" s="67"/>
    </row>
    <row r="503" spans="1:11" s="14" customFormat="1" ht="31.5" customHeight="1" x14ac:dyDescent="0.4">
      <c r="B503" s="68" t="s">
        <v>22</v>
      </c>
      <c r="C503" s="69"/>
      <c r="D503" s="69"/>
      <c r="E503" s="69"/>
      <c r="F503" s="49" t="s">
        <v>24</v>
      </c>
      <c r="G503" s="70" t="s">
        <v>25</v>
      </c>
      <c r="H503" s="72" t="s">
        <v>27</v>
      </c>
      <c r="I503" s="75" t="s">
        <v>66</v>
      </c>
      <c r="J503" s="76"/>
      <c r="K503" s="76" t="s">
        <v>29</v>
      </c>
    </row>
    <row r="504" spans="1:11" s="14" customFormat="1" ht="31.5" customHeight="1" x14ac:dyDescent="0.4">
      <c r="B504" s="68" t="s">
        <v>76</v>
      </c>
      <c r="C504" s="79"/>
      <c r="D504" s="26" t="s">
        <v>77</v>
      </c>
      <c r="E504" s="27" t="s">
        <v>77</v>
      </c>
      <c r="F504" s="28" t="s">
        <v>23</v>
      </c>
      <c r="G504" s="71"/>
      <c r="H504" s="73"/>
      <c r="I504" s="75"/>
      <c r="J504" s="77"/>
      <c r="K504" s="77"/>
    </row>
    <row r="505" spans="1:11" s="14" customFormat="1" ht="31.5" customHeight="1" x14ac:dyDescent="0.4">
      <c r="B505" s="80">
        <v>0.05</v>
      </c>
      <c r="C505" s="80">
        <v>0.05</v>
      </c>
      <c r="D505" s="80">
        <v>0.1</v>
      </c>
      <c r="E505" s="80">
        <v>0.1</v>
      </c>
      <c r="F505" s="90">
        <v>0.7</v>
      </c>
      <c r="G505" s="53" t="s">
        <v>26</v>
      </c>
      <c r="H505" s="74"/>
      <c r="I505" s="70"/>
      <c r="J505" s="77"/>
      <c r="K505" s="77"/>
    </row>
    <row r="506" spans="1:11" s="14" customFormat="1" ht="31.5" customHeight="1" x14ac:dyDescent="0.4">
      <c r="A506" s="23" t="s">
        <v>4</v>
      </c>
      <c r="B506" s="81"/>
      <c r="C506" s="81"/>
      <c r="D506" s="81"/>
      <c r="E506" s="81"/>
      <c r="F506" s="91"/>
      <c r="G506" s="29">
        <v>1</v>
      </c>
      <c r="H506" s="28" t="s">
        <v>28</v>
      </c>
      <c r="I506" s="43" t="s">
        <v>65</v>
      </c>
      <c r="J506" s="48" t="s">
        <v>67</v>
      </c>
      <c r="K506" s="78"/>
    </row>
    <row r="507" spans="1:11" s="3" customFormat="1" ht="41.25" customHeight="1" x14ac:dyDescent="0.4">
      <c r="A507" s="57" t="s">
        <v>6</v>
      </c>
      <c r="B507" s="33">
        <v>5</v>
      </c>
      <c r="C507" s="33">
        <v>8</v>
      </c>
      <c r="D507" s="33">
        <v>10</v>
      </c>
      <c r="E507" s="33">
        <v>8</v>
      </c>
      <c r="F507" s="33">
        <v>18</v>
      </c>
      <c r="G507" s="31">
        <f t="shared" ref="G507:G516" si="24">SUM(B507:F507)</f>
        <v>49</v>
      </c>
      <c r="H507" s="38">
        <v>60</v>
      </c>
      <c r="I507" s="32" t="s">
        <v>121</v>
      </c>
      <c r="J507" s="33" t="str">
        <f>IF(G507&gt;=70,"A",IF(G507&gt;=60,"B",IF(G507&gt;=50,"C",IF(G507&gt;=45,"D",IF(G507&gt;=40,"E",IF(G507&lt;=39,"F"))))))</f>
        <v>D</v>
      </c>
      <c r="K507" s="34" t="str">
        <f>IF(G507&gt;=70,"EXCELLENT",IF(G507&gt;=60,"V.GOOD",IF(G507&gt;=50,"GOOD",IF(G507&gt;=45,"PASS",IF(G507&gt;=40,"FAIR",IF(G507&lt;=39,"FAIL"))))))</f>
        <v>PASS</v>
      </c>
    </row>
    <row r="508" spans="1:11" s="3" customFormat="1" ht="41.25" customHeight="1" x14ac:dyDescent="0.4">
      <c r="A508" s="57" t="s">
        <v>7</v>
      </c>
      <c r="B508" s="33">
        <v>9</v>
      </c>
      <c r="C508" s="33">
        <v>6</v>
      </c>
      <c r="D508" s="33">
        <v>15</v>
      </c>
      <c r="E508" s="33">
        <v>15</v>
      </c>
      <c r="F508" s="33">
        <v>14</v>
      </c>
      <c r="G508" s="33">
        <f t="shared" si="24"/>
        <v>59</v>
      </c>
      <c r="H508" s="39">
        <v>58.9</v>
      </c>
      <c r="I508" s="25" t="s">
        <v>117</v>
      </c>
      <c r="J508" s="33" t="str">
        <f t="shared" ref="J508:J516" si="25">IF(G508&gt;=70,"A",IF(G508&gt;=60,"B",IF(G508&gt;=50,"C",IF(G508&gt;=45,"D",IF(G508&gt;=40,"E",IF(G508&lt;=39,"F"))))))</f>
        <v>C</v>
      </c>
      <c r="K508" s="34" t="str">
        <f t="shared" ref="K508:K516" si="26">IF(G508&gt;=70,"EXCELLENT",IF(G508&gt;=60,"V.GOOD",IF(G508&gt;=50,"GOOD",IF(G508&gt;=45,"PASS",IF(G508&gt;=40,"FAIR",IF(G508&lt;=39,"FAIL"))))))</f>
        <v>GOOD</v>
      </c>
    </row>
    <row r="509" spans="1:11" s="3" customFormat="1" ht="41.25" customHeight="1" x14ac:dyDescent="0.4">
      <c r="A509" s="57" t="s">
        <v>152</v>
      </c>
      <c r="B509" s="33">
        <v>4</v>
      </c>
      <c r="C509" s="33">
        <v>4</v>
      </c>
      <c r="D509" s="33">
        <v>4</v>
      </c>
      <c r="E509" s="33">
        <v>10</v>
      </c>
      <c r="F509" s="33">
        <v>30</v>
      </c>
      <c r="G509" s="33">
        <f t="shared" si="24"/>
        <v>52</v>
      </c>
      <c r="H509" s="39">
        <v>51.8</v>
      </c>
      <c r="I509" s="25" t="s">
        <v>113</v>
      </c>
      <c r="J509" s="33" t="str">
        <f t="shared" si="25"/>
        <v>C</v>
      </c>
      <c r="K509" s="34" t="str">
        <f t="shared" si="26"/>
        <v>GOOD</v>
      </c>
    </row>
    <row r="510" spans="1:11" s="3" customFormat="1" ht="41.25" customHeight="1" x14ac:dyDescent="0.4">
      <c r="A510" s="57" t="s">
        <v>153</v>
      </c>
      <c r="B510" s="33">
        <v>10</v>
      </c>
      <c r="C510" s="33">
        <v>10</v>
      </c>
      <c r="D510" s="33">
        <v>13</v>
      </c>
      <c r="E510" s="33">
        <v>14</v>
      </c>
      <c r="F510" s="33">
        <v>27</v>
      </c>
      <c r="G510" s="33">
        <f t="shared" si="24"/>
        <v>74</v>
      </c>
      <c r="H510" s="39">
        <v>72.599999999999994</v>
      </c>
      <c r="I510" s="25" t="s">
        <v>117</v>
      </c>
      <c r="J510" s="33" t="str">
        <f t="shared" si="25"/>
        <v>A</v>
      </c>
      <c r="K510" s="34" t="str">
        <f t="shared" si="26"/>
        <v>EXCELLENT</v>
      </c>
    </row>
    <row r="511" spans="1:11" s="3" customFormat="1" ht="41.25" customHeight="1" x14ac:dyDescent="0.4">
      <c r="A511" s="57" t="s">
        <v>154</v>
      </c>
      <c r="B511" s="33">
        <v>6</v>
      </c>
      <c r="C511" s="33">
        <v>8</v>
      </c>
      <c r="D511" s="33">
        <v>7</v>
      </c>
      <c r="E511" s="33">
        <v>14</v>
      </c>
      <c r="F511" s="33">
        <v>24</v>
      </c>
      <c r="G511" s="33">
        <f t="shared" si="24"/>
        <v>59</v>
      </c>
      <c r="H511" s="39">
        <v>71.400000000000006</v>
      </c>
      <c r="I511" s="25" t="s">
        <v>121</v>
      </c>
      <c r="J511" s="33" t="str">
        <f t="shared" si="25"/>
        <v>C</v>
      </c>
      <c r="K511" s="34" t="str">
        <f t="shared" si="26"/>
        <v>GOOD</v>
      </c>
    </row>
    <row r="512" spans="1:11" s="3" customFormat="1" ht="41.25" customHeight="1" x14ac:dyDescent="0.4">
      <c r="A512" s="57" t="s">
        <v>13</v>
      </c>
      <c r="B512" s="33">
        <v>5</v>
      </c>
      <c r="C512" s="33">
        <v>6</v>
      </c>
      <c r="D512" s="33">
        <v>2</v>
      </c>
      <c r="E512" s="33">
        <v>6</v>
      </c>
      <c r="F512" s="33">
        <v>20</v>
      </c>
      <c r="G512" s="33">
        <f t="shared" si="24"/>
        <v>39</v>
      </c>
      <c r="H512" s="39">
        <v>54.7</v>
      </c>
      <c r="I512" s="25" t="s">
        <v>121</v>
      </c>
      <c r="J512" s="33" t="str">
        <f t="shared" si="25"/>
        <v>F</v>
      </c>
      <c r="K512" s="34" t="str">
        <f t="shared" si="26"/>
        <v>FAIL</v>
      </c>
    </row>
    <row r="513" spans="1:11" s="3" customFormat="1" ht="41.25" customHeight="1" x14ac:dyDescent="0.4">
      <c r="A513" s="57" t="s">
        <v>155</v>
      </c>
      <c r="B513" s="33">
        <v>9</v>
      </c>
      <c r="C513" s="33">
        <v>10</v>
      </c>
      <c r="D513" s="33">
        <v>8</v>
      </c>
      <c r="E513" s="33">
        <v>10</v>
      </c>
      <c r="F513" s="33">
        <v>20</v>
      </c>
      <c r="G513" s="33">
        <f t="shared" si="24"/>
        <v>57</v>
      </c>
      <c r="H513" s="39">
        <v>65.2</v>
      </c>
      <c r="I513" s="25" t="s">
        <v>121</v>
      </c>
      <c r="J513" s="33" t="str">
        <f t="shared" si="25"/>
        <v>C</v>
      </c>
      <c r="K513" s="34" t="str">
        <f t="shared" si="26"/>
        <v>GOOD</v>
      </c>
    </row>
    <row r="514" spans="1:11" s="3" customFormat="1" ht="41.25" customHeight="1" x14ac:dyDescent="0.4">
      <c r="A514" s="57" t="s">
        <v>156</v>
      </c>
      <c r="B514" s="33">
        <v>7</v>
      </c>
      <c r="C514" s="33">
        <v>8</v>
      </c>
      <c r="D514" s="33">
        <v>16</v>
      </c>
      <c r="E514" s="33">
        <v>12</v>
      </c>
      <c r="F514" s="33">
        <v>17</v>
      </c>
      <c r="G514" s="33">
        <f t="shared" si="24"/>
        <v>60</v>
      </c>
      <c r="H514" s="39">
        <v>71.25</v>
      </c>
      <c r="I514" s="25" t="s">
        <v>120</v>
      </c>
      <c r="J514" s="33" t="str">
        <f t="shared" si="25"/>
        <v>B</v>
      </c>
      <c r="K514" s="34" t="str">
        <f t="shared" si="26"/>
        <v>V.GOOD</v>
      </c>
    </row>
    <row r="515" spans="1:11" s="3" customFormat="1" ht="41.25" customHeight="1" x14ac:dyDescent="0.4">
      <c r="A515" s="57" t="s">
        <v>157</v>
      </c>
      <c r="B515" s="33">
        <v>7</v>
      </c>
      <c r="C515" s="33">
        <v>8</v>
      </c>
      <c r="D515" s="33">
        <v>17</v>
      </c>
      <c r="E515" s="33">
        <v>14</v>
      </c>
      <c r="F515" s="33">
        <v>34</v>
      </c>
      <c r="G515" s="33">
        <f t="shared" si="24"/>
        <v>80</v>
      </c>
      <c r="H515" s="39">
        <v>79.5</v>
      </c>
      <c r="I515" s="25" t="s">
        <v>117</v>
      </c>
      <c r="J515" s="33" t="str">
        <f t="shared" si="25"/>
        <v>A</v>
      </c>
      <c r="K515" s="34" t="str">
        <f t="shared" si="26"/>
        <v>EXCELLENT</v>
      </c>
    </row>
    <row r="516" spans="1:11" s="3" customFormat="1" ht="41.25" customHeight="1" x14ac:dyDescent="0.4">
      <c r="A516" s="57" t="s">
        <v>158</v>
      </c>
      <c r="B516" s="33">
        <v>8</v>
      </c>
      <c r="C516" s="33">
        <v>7</v>
      </c>
      <c r="D516" s="33">
        <v>15</v>
      </c>
      <c r="E516" s="33">
        <v>15</v>
      </c>
      <c r="F516" s="33">
        <v>14</v>
      </c>
      <c r="G516" s="33">
        <f t="shared" si="24"/>
        <v>59</v>
      </c>
      <c r="H516" s="39">
        <v>66.08</v>
      </c>
      <c r="I516" s="25" t="s">
        <v>120</v>
      </c>
      <c r="J516" s="33" t="str">
        <f t="shared" si="25"/>
        <v>C</v>
      </c>
      <c r="K516" s="34" t="str">
        <f t="shared" si="26"/>
        <v>GOOD</v>
      </c>
    </row>
    <row r="517" spans="1:11" s="3" customFormat="1" ht="41.25" customHeight="1" x14ac:dyDescent="0.4">
      <c r="A517" s="58"/>
      <c r="B517" s="33"/>
      <c r="C517" s="33"/>
      <c r="D517" s="33"/>
      <c r="E517" s="33"/>
      <c r="F517" s="33"/>
      <c r="G517" s="33"/>
      <c r="H517" s="39"/>
      <c r="I517" s="25"/>
      <c r="J517" s="33"/>
      <c r="K517" s="34"/>
    </row>
    <row r="518" spans="1:11" s="3" customFormat="1" ht="41.25" customHeight="1" x14ac:dyDescent="0.4">
      <c r="A518" s="58"/>
      <c r="B518" s="33"/>
      <c r="C518" s="33"/>
      <c r="D518" s="33"/>
      <c r="E518" s="33"/>
      <c r="F518" s="33"/>
      <c r="G518" s="33"/>
      <c r="H518" s="39"/>
      <c r="I518" s="25"/>
      <c r="J518" s="33"/>
      <c r="K518" s="34"/>
    </row>
    <row r="519" spans="1:11" s="3" customFormat="1" ht="41.25" customHeight="1" x14ac:dyDescent="0.4">
      <c r="A519" s="58"/>
      <c r="B519" s="33"/>
      <c r="C519" s="33"/>
      <c r="D519" s="33"/>
      <c r="E519" s="33"/>
      <c r="F519" s="33"/>
      <c r="G519" s="33"/>
      <c r="H519" s="39"/>
      <c r="I519" s="25"/>
      <c r="J519" s="33"/>
      <c r="K519" s="34"/>
    </row>
    <row r="520" spans="1:11" s="3" customFormat="1" ht="41.25" customHeight="1" x14ac:dyDescent="0.4">
      <c r="A520" s="58"/>
      <c r="B520" s="33"/>
      <c r="C520" s="33"/>
      <c r="D520" s="33"/>
      <c r="E520" s="33"/>
      <c r="F520" s="33"/>
      <c r="G520" s="33"/>
      <c r="H520" s="39"/>
      <c r="I520" s="25"/>
      <c r="J520" s="33"/>
      <c r="K520" s="34"/>
    </row>
    <row r="521" spans="1:11" s="3" customFormat="1" ht="41.25" customHeight="1" x14ac:dyDescent="0.4">
      <c r="A521" s="58"/>
      <c r="B521" s="33"/>
      <c r="C521" s="33"/>
      <c r="D521" s="33"/>
      <c r="E521" s="33"/>
      <c r="F521" s="33"/>
      <c r="G521" s="33"/>
      <c r="H521" s="39"/>
      <c r="I521" s="25"/>
      <c r="J521" s="33"/>
      <c r="K521" s="34"/>
    </row>
    <row r="522" spans="1:11" s="3" customFormat="1" ht="41.25" customHeight="1" x14ac:dyDescent="0.4">
      <c r="A522" s="58"/>
      <c r="B522" s="33"/>
      <c r="C522" s="33"/>
      <c r="D522" s="33"/>
      <c r="E522" s="33"/>
      <c r="F522" s="33"/>
      <c r="G522" s="33"/>
      <c r="H522" s="39"/>
      <c r="I522" s="25"/>
      <c r="J522" s="33"/>
      <c r="K522" s="34"/>
    </row>
    <row r="523" spans="1:11" s="3" customFormat="1" ht="41.25" customHeight="1" x14ac:dyDescent="0.4">
      <c r="A523" s="58"/>
      <c r="B523" s="33"/>
      <c r="C523" s="33"/>
      <c r="D523" s="33"/>
      <c r="E523" s="33"/>
      <c r="F523" s="33"/>
      <c r="G523" s="33"/>
      <c r="H523" s="39"/>
      <c r="I523" s="25"/>
      <c r="J523" s="33"/>
      <c r="K523" s="34"/>
    </row>
    <row r="524" spans="1:11" s="3" customFormat="1" ht="41.25" customHeight="1" x14ac:dyDescent="0.4">
      <c r="A524" s="4"/>
      <c r="B524" s="33"/>
      <c r="C524" s="33"/>
      <c r="D524" s="33"/>
      <c r="E524" s="33"/>
      <c r="F524" s="33"/>
      <c r="G524" s="33"/>
      <c r="H524" s="25"/>
      <c r="I524" s="25"/>
      <c r="J524" s="25"/>
      <c r="K524" s="35"/>
    </row>
    <row r="525" spans="1:11" s="3" customFormat="1" ht="41.25" customHeight="1" x14ac:dyDescent="0.4">
      <c r="A525" s="4"/>
      <c r="B525" s="33"/>
      <c r="C525" s="33"/>
      <c r="D525" s="33"/>
      <c r="E525" s="33"/>
      <c r="F525" s="33"/>
      <c r="G525" s="33"/>
      <c r="H525" s="25"/>
      <c r="I525" s="25"/>
      <c r="J525" s="25"/>
      <c r="K525" s="35"/>
    </row>
    <row r="526" spans="1:11" s="3" customFormat="1" ht="31.5" customHeight="1" x14ac:dyDescent="0.45">
      <c r="A526" s="37"/>
      <c r="B526" s="22"/>
      <c r="C526" s="22"/>
      <c r="D526" s="22"/>
      <c r="E526" s="22"/>
      <c r="F526" s="22"/>
      <c r="G526" s="22"/>
      <c r="H526" s="22"/>
      <c r="I526" s="22"/>
      <c r="J526" s="22"/>
      <c r="K526" s="22"/>
    </row>
    <row r="527" spans="1:11" s="3" customFormat="1" ht="31.5" customHeight="1" x14ac:dyDescent="0.45">
      <c r="A527" s="56" t="s">
        <v>58</v>
      </c>
      <c r="B527" s="36">
        <f>SUM(G507:G523)</f>
        <v>588</v>
      </c>
      <c r="C527" s="22"/>
      <c r="D527" s="22"/>
      <c r="E527" s="37"/>
      <c r="F527" s="83" t="s">
        <v>49</v>
      </c>
      <c r="G527" s="83"/>
      <c r="H527" s="93">
        <f>B527</f>
        <v>588</v>
      </c>
      <c r="I527" s="93"/>
      <c r="J527" s="92" t="s">
        <v>50</v>
      </c>
      <c r="K527" s="82">
        <f>H527/17</f>
        <v>34.588235294117645</v>
      </c>
    </row>
    <row r="528" spans="1:11" s="3" customFormat="1" ht="31.5" customHeight="1" x14ac:dyDescent="0.45">
      <c r="A528" s="37"/>
      <c r="B528" s="22"/>
      <c r="C528" s="22"/>
      <c r="D528" s="22"/>
      <c r="E528" s="37"/>
      <c r="F528" s="37"/>
      <c r="G528" s="37"/>
      <c r="H528" s="83">
        <v>17</v>
      </c>
      <c r="I528" s="83"/>
      <c r="J528" s="92"/>
      <c r="K528" s="82"/>
    </row>
    <row r="529" spans="1:11" s="3" customFormat="1" ht="31.5" customHeight="1" x14ac:dyDescent="0.35">
      <c r="A529" s="5"/>
      <c r="E529" s="5"/>
      <c r="F529" s="5"/>
      <c r="G529" s="5"/>
      <c r="H529" s="8"/>
      <c r="I529" s="8"/>
      <c r="J529" s="12"/>
      <c r="K529" s="13"/>
    </row>
    <row r="530" spans="1:11" s="3" customFormat="1" ht="33.75" customHeight="1" x14ac:dyDescent="0.35">
      <c r="A530" s="5"/>
      <c r="D530" s="84" t="s">
        <v>30</v>
      </c>
      <c r="E530" s="84"/>
      <c r="F530" s="84"/>
      <c r="G530" s="84"/>
      <c r="H530" s="84"/>
    </row>
    <row r="531" spans="1:11" s="3" customFormat="1" ht="33.75" customHeight="1" x14ac:dyDescent="0.35">
      <c r="A531" s="85" t="s">
        <v>31</v>
      </c>
      <c r="B531" s="86"/>
      <c r="C531" s="87"/>
      <c r="D531" s="41" t="s">
        <v>44</v>
      </c>
      <c r="E531" s="41" t="s">
        <v>45</v>
      </c>
      <c r="F531" s="41" t="s">
        <v>46</v>
      </c>
      <c r="G531" s="41" t="s">
        <v>47</v>
      </c>
      <c r="H531" s="41" t="s">
        <v>48</v>
      </c>
      <c r="I531" s="9"/>
      <c r="J531" s="11" t="s">
        <v>51</v>
      </c>
      <c r="K531" s="5"/>
    </row>
    <row r="532" spans="1:11" s="3" customFormat="1" ht="33.75" customHeight="1" x14ac:dyDescent="0.35">
      <c r="A532" s="88" t="s">
        <v>32</v>
      </c>
      <c r="B532" s="88"/>
      <c r="C532" s="88"/>
      <c r="D532" s="45" t="s">
        <v>124</v>
      </c>
      <c r="E532" s="7"/>
      <c r="F532" s="7"/>
      <c r="G532" s="7"/>
      <c r="H532" s="7"/>
      <c r="I532" s="9"/>
      <c r="J532" s="5" t="s">
        <v>52</v>
      </c>
      <c r="K532" s="5"/>
    </row>
    <row r="533" spans="1:11" s="3" customFormat="1" ht="33.75" customHeight="1" x14ac:dyDescent="0.35">
      <c r="A533" s="88" t="s">
        <v>33</v>
      </c>
      <c r="B533" s="88"/>
      <c r="C533" s="88"/>
      <c r="D533" s="45" t="s">
        <v>124</v>
      </c>
      <c r="E533" s="7"/>
      <c r="F533" s="7"/>
      <c r="G533" s="7"/>
      <c r="H533" s="7"/>
      <c r="I533" s="9"/>
      <c r="J533" s="5" t="s">
        <v>53</v>
      </c>
      <c r="K533" s="5"/>
    </row>
    <row r="534" spans="1:11" s="3" customFormat="1" ht="33.75" customHeight="1" x14ac:dyDescent="0.35">
      <c r="A534" s="88" t="s">
        <v>34</v>
      </c>
      <c r="B534" s="88"/>
      <c r="C534" s="88"/>
      <c r="D534" s="7"/>
      <c r="E534" s="45" t="s">
        <v>124</v>
      </c>
      <c r="F534" s="7"/>
      <c r="G534" s="7"/>
      <c r="H534" s="7"/>
      <c r="I534" s="9"/>
      <c r="J534" s="5" t="s">
        <v>54</v>
      </c>
      <c r="K534" s="5"/>
    </row>
    <row r="535" spans="1:11" s="3" customFormat="1" ht="33.75" customHeight="1" x14ac:dyDescent="0.35">
      <c r="A535" s="88" t="s">
        <v>35</v>
      </c>
      <c r="B535" s="88"/>
      <c r="C535" s="88"/>
      <c r="D535" s="7"/>
      <c r="E535" s="45" t="s">
        <v>124</v>
      </c>
      <c r="F535" s="7"/>
      <c r="G535" s="7"/>
      <c r="H535" s="7"/>
      <c r="I535" s="9"/>
      <c r="J535" s="5" t="s">
        <v>55</v>
      </c>
      <c r="K535" s="5"/>
    </row>
    <row r="536" spans="1:11" s="3" customFormat="1" ht="33.75" customHeight="1" x14ac:dyDescent="0.35">
      <c r="A536" s="88" t="s">
        <v>36</v>
      </c>
      <c r="B536" s="88"/>
      <c r="C536" s="88"/>
      <c r="D536" s="45" t="s">
        <v>124</v>
      </c>
      <c r="E536" s="7"/>
      <c r="F536" s="7"/>
      <c r="G536" s="7"/>
      <c r="H536" s="7"/>
      <c r="I536" s="9"/>
      <c r="J536" s="5" t="s">
        <v>56</v>
      </c>
      <c r="K536" s="5"/>
    </row>
    <row r="537" spans="1:11" s="3" customFormat="1" ht="33.75" customHeight="1" x14ac:dyDescent="0.35">
      <c r="A537" s="88" t="s">
        <v>37</v>
      </c>
      <c r="B537" s="88"/>
      <c r="C537" s="88"/>
      <c r="D537" s="45" t="s">
        <v>124</v>
      </c>
      <c r="E537" s="7"/>
      <c r="F537" s="7"/>
      <c r="G537" s="7"/>
      <c r="H537" s="7"/>
      <c r="I537" s="9"/>
      <c r="J537" s="5" t="s">
        <v>57</v>
      </c>
      <c r="K537" s="5"/>
    </row>
    <row r="538" spans="1:11" s="3" customFormat="1" ht="33.75" customHeight="1" x14ac:dyDescent="0.35">
      <c r="A538" s="88" t="s">
        <v>38</v>
      </c>
      <c r="B538" s="88"/>
      <c r="C538" s="88"/>
      <c r="D538" s="45" t="s">
        <v>124</v>
      </c>
      <c r="E538" s="7"/>
      <c r="F538" s="7"/>
      <c r="G538" s="7"/>
      <c r="H538" s="7"/>
      <c r="I538" s="9"/>
    </row>
    <row r="539" spans="1:11" s="3" customFormat="1" ht="33.75" customHeight="1" x14ac:dyDescent="0.35">
      <c r="A539" s="88" t="s">
        <v>39</v>
      </c>
      <c r="B539" s="88"/>
      <c r="C539" s="88"/>
      <c r="D539" s="7"/>
      <c r="E539" s="45" t="s">
        <v>124</v>
      </c>
      <c r="F539" s="7"/>
      <c r="G539" s="7"/>
      <c r="H539" s="7"/>
      <c r="I539" s="9"/>
    </row>
    <row r="540" spans="1:11" s="3" customFormat="1" ht="33.75" customHeight="1" x14ac:dyDescent="0.35">
      <c r="A540" s="88" t="s">
        <v>40</v>
      </c>
      <c r="B540" s="88"/>
      <c r="C540" s="88"/>
      <c r="D540" s="45"/>
      <c r="E540" s="45" t="s">
        <v>124</v>
      </c>
      <c r="F540" s="7"/>
      <c r="G540" s="7"/>
      <c r="H540" s="7"/>
      <c r="I540" s="9"/>
    </row>
    <row r="541" spans="1:11" s="3" customFormat="1" ht="33.75" customHeight="1" x14ac:dyDescent="0.35">
      <c r="A541" s="88" t="s">
        <v>41</v>
      </c>
      <c r="B541" s="88"/>
      <c r="C541" s="88"/>
      <c r="D541" s="45" t="s">
        <v>124</v>
      </c>
      <c r="E541" s="7"/>
      <c r="F541" s="7"/>
      <c r="G541" s="7"/>
      <c r="H541" s="7"/>
      <c r="I541" s="9"/>
    </row>
    <row r="542" spans="1:11" s="3" customFormat="1" ht="33.75" customHeight="1" x14ac:dyDescent="0.35">
      <c r="A542" s="88" t="s">
        <v>42</v>
      </c>
      <c r="B542" s="88"/>
      <c r="C542" s="88"/>
      <c r="D542" s="7"/>
      <c r="E542" s="45" t="s">
        <v>124</v>
      </c>
      <c r="F542" s="7"/>
      <c r="G542" s="7"/>
      <c r="H542" s="7"/>
      <c r="I542" s="9"/>
    </row>
    <row r="543" spans="1:11" s="3" customFormat="1" ht="33.75" customHeight="1" x14ac:dyDescent="0.35">
      <c r="A543" s="88" t="s">
        <v>43</v>
      </c>
      <c r="B543" s="88"/>
      <c r="C543" s="88"/>
      <c r="D543" s="45" t="s">
        <v>124</v>
      </c>
      <c r="E543" s="7"/>
      <c r="F543" s="7"/>
      <c r="G543" s="7"/>
      <c r="H543" s="7"/>
      <c r="I543" s="9"/>
    </row>
    <row r="544" spans="1:11" ht="54.75" customHeight="1" x14ac:dyDescent="0.25"/>
    <row r="545" spans="1:11" s="15" customFormat="1" ht="36.75" customHeight="1" x14ac:dyDescent="0.4">
      <c r="A545" s="17" t="s">
        <v>78</v>
      </c>
      <c r="B545" s="17"/>
      <c r="C545" s="94" t="s">
        <v>125</v>
      </c>
      <c r="D545" s="94"/>
      <c r="E545" s="94"/>
      <c r="F545" s="94"/>
      <c r="G545" s="94"/>
      <c r="H545" s="94"/>
      <c r="I545" s="94"/>
      <c r="J545" s="94"/>
      <c r="K545" s="16"/>
    </row>
    <row r="546" spans="1:11" s="15" customFormat="1" ht="42.75" customHeight="1" x14ac:dyDescent="0.4">
      <c r="A546" s="17" t="s">
        <v>80</v>
      </c>
      <c r="B546" s="17"/>
      <c r="C546" s="95" t="s">
        <v>107</v>
      </c>
      <c r="D546" s="95"/>
      <c r="E546" s="95"/>
      <c r="F546" s="95"/>
      <c r="G546" s="95"/>
      <c r="H546" s="95"/>
      <c r="I546" s="16"/>
      <c r="J546" s="16"/>
      <c r="K546" s="16"/>
    </row>
    <row r="547" spans="1:11" s="15" customFormat="1" ht="31.5" customHeight="1" x14ac:dyDescent="0.4">
      <c r="A547" s="17"/>
      <c r="B547" s="17"/>
      <c r="C547" s="18"/>
      <c r="D547" s="18"/>
      <c r="E547" s="18"/>
      <c r="F547" s="18"/>
      <c r="G547" s="18"/>
      <c r="H547" s="18"/>
      <c r="I547" s="16"/>
      <c r="J547" s="16"/>
      <c r="K547" s="16"/>
    </row>
    <row r="548" spans="1:11" s="15" customFormat="1" ht="31.5" customHeight="1" x14ac:dyDescent="0.4">
      <c r="A548" s="17" t="s">
        <v>81</v>
      </c>
      <c r="B548" s="17"/>
      <c r="C548" s="44" t="s">
        <v>131</v>
      </c>
      <c r="D548" s="44"/>
      <c r="E548" s="44"/>
      <c r="F548" s="44"/>
      <c r="G548" s="44"/>
      <c r="H548" s="44"/>
      <c r="I548" s="44"/>
      <c r="J548" s="44"/>
      <c r="K548" s="16"/>
    </row>
    <row r="549" spans="1:11" s="15" customFormat="1" ht="46.5" customHeight="1" x14ac:dyDescent="0.4">
      <c r="A549" s="17" t="s">
        <v>80</v>
      </c>
      <c r="B549" s="17"/>
      <c r="C549" s="95" t="s">
        <v>107</v>
      </c>
      <c r="D549" s="95"/>
      <c r="E549" s="95"/>
      <c r="F549" s="95"/>
      <c r="G549" s="95"/>
      <c r="H549" s="95"/>
      <c r="I549" s="16"/>
      <c r="J549" s="16"/>
      <c r="K549" s="16"/>
    </row>
    <row r="551" spans="1:11" ht="66" customHeight="1" x14ac:dyDescent="0.25">
      <c r="A551" s="62" t="s">
        <v>0</v>
      </c>
      <c r="B551" s="62"/>
      <c r="C551" s="62"/>
      <c r="D551" s="62"/>
      <c r="E551" s="62"/>
      <c r="F551" s="62"/>
      <c r="G551" s="62"/>
      <c r="H551" s="62"/>
      <c r="I551" s="62"/>
      <c r="J551" s="62"/>
      <c r="K551" s="62"/>
    </row>
    <row r="552" spans="1:11" ht="27.75" customHeight="1" x14ac:dyDescent="0.3">
      <c r="A552" s="63" t="s">
        <v>1</v>
      </c>
      <c r="B552" s="63"/>
      <c r="C552" s="63"/>
      <c r="D552" s="63"/>
      <c r="E552" s="63"/>
      <c r="F552" s="63"/>
      <c r="G552" s="63"/>
      <c r="H552" s="63"/>
      <c r="I552" s="63"/>
      <c r="J552" s="63"/>
      <c r="K552" s="63"/>
    </row>
    <row r="553" spans="1:11" ht="46.5" customHeight="1" x14ac:dyDescent="0.25">
      <c r="A553" s="64" t="s">
        <v>2</v>
      </c>
      <c r="B553" s="64"/>
      <c r="C553" s="64"/>
      <c r="D553" s="64"/>
      <c r="E553" s="64"/>
      <c r="F553" s="64"/>
      <c r="G553" s="64"/>
      <c r="H553" s="64"/>
      <c r="I553" s="64"/>
      <c r="J553" s="64"/>
      <c r="K553" s="64"/>
    </row>
    <row r="554" spans="1:11" ht="39" customHeight="1" x14ac:dyDescent="0.55000000000000004">
      <c r="A554" s="65" t="s">
        <v>3</v>
      </c>
      <c r="B554" s="65"/>
      <c r="C554" s="65"/>
      <c r="D554" s="65"/>
      <c r="E554" s="65"/>
      <c r="F554" s="65"/>
      <c r="G554" s="65"/>
      <c r="H554" s="65"/>
      <c r="I554" s="65"/>
      <c r="J554" s="65"/>
      <c r="K554" s="65"/>
    </row>
    <row r="555" spans="1:11" ht="31.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s="20" customFormat="1" ht="31.5" customHeight="1" x14ac:dyDescent="0.4">
      <c r="A556" s="19" t="s">
        <v>60</v>
      </c>
      <c r="B556" s="59" t="s">
        <v>92</v>
      </c>
      <c r="C556" s="59"/>
      <c r="D556" s="59"/>
      <c r="E556" s="59"/>
      <c r="F556" s="59"/>
      <c r="G556" s="19" t="s">
        <v>59</v>
      </c>
      <c r="H556" s="47" t="s">
        <v>89</v>
      </c>
      <c r="I556" s="19" t="s">
        <v>75</v>
      </c>
      <c r="J556" s="59" t="s">
        <v>91</v>
      </c>
      <c r="K556" s="59"/>
    </row>
    <row r="557" spans="1:11" s="20" customFormat="1" ht="31.5" customHeight="1" x14ac:dyDescent="0.4">
      <c r="A557" s="19" t="s">
        <v>61</v>
      </c>
      <c r="B557" s="59"/>
      <c r="C557" s="59"/>
      <c r="D557" s="19" t="s">
        <v>68</v>
      </c>
      <c r="E557" s="59"/>
      <c r="F557" s="59"/>
      <c r="G557" s="59"/>
      <c r="H557" s="59"/>
      <c r="I557" s="19" t="s">
        <v>69</v>
      </c>
      <c r="J557" s="59" t="s">
        <v>85</v>
      </c>
      <c r="K557" s="59"/>
    </row>
    <row r="558" spans="1:11" s="20" customFormat="1" ht="35.25" customHeight="1" x14ac:dyDescent="0.4">
      <c r="A558" s="19" t="s">
        <v>63</v>
      </c>
      <c r="B558" s="47" t="s">
        <v>64</v>
      </c>
      <c r="C558" s="47"/>
      <c r="D558" s="47"/>
      <c r="E558" s="55"/>
      <c r="F558" s="19" t="s">
        <v>62</v>
      </c>
      <c r="H558" s="47">
        <v>12</v>
      </c>
      <c r="I558" s="19" t="s">
        <v>70</v>
      </c>
      <c r="J558" s="59"/>
      <c r="K558" s="59"/>
    </row>
    <row r="559" spans="1:11" s="20" customFormat="1" ht="39" customHeight="1" x14ac:dyDescent="0.4">
      <c r="A559" s="19" t="s">
        <v>71</v>
      </c>
      <c r="B559" s="21" t="s">
        <v>86</v>
      </c>
      <c r="C559" s="21"/>
      <c r="D559" s="21"/>
      <c r="E559" s="21"/>
      <c r="F559" s="19" t="s">
        <v>73</v>
      </c>
      <c r="G559" s="19"/>
      <c r="H559" s="24" t="s">
        <v>87</v>
      </c>
      <c r="I559" s="21"/>
      <c r="J559" s="21"/>
      <c r="K559" s="21"/>
    </row>
    <row r="560" spans="1:11" s="20" customFormat="1" ht="39.75" customHeight="1" x14ac:dyDescent="0.4">
      <c r="A560" s="19" t="s">
        <v>72</v>
      </c>
      <c r="B560" s="21"/>
      <c r="C560" s="60"/>
      <c r="D560" s="60"/>
      <c r="E560" s="60"/>
      <c r="F560" s="19" t="s">
        <v>74</v>
      </c>
      <c r="G560" s="19"/>
      <c r="H560" s="61"/>
      <c r="I560" s="61"/>
      <c r="J560" s="61"/>
      <c r="K560" s="61"/>
    </row>
    <row r="561" spans="1:11" s="20" customFormat="1" ht="21" customHeight="1" x14ac:dyDescent="0.4">
      <c r="A561" s="19"/>
      <c r="B561" s="21"/>
      <c r="C561" s="51"/>
      <c r="D561" s="51"/>
      <c r="E561" s="51"/>
      <c r="F561" s="19"/>
      <c r="G561" s="19"/>
      <c r="H561" s="52"/>
      <c r="I561" s="52"/>
      <c r="J561" s="52"/>
      <c r="K561" s="52"/>
    </row>
    <row r="562" spans="1:11" s="14" customFormat="1" ht="36.75" customHeight="1" x14ac:dyDescent="0.45">
      <c r="A562" s="15"/>
      <c r="B562" s="67" t="s">
        <v>5</v>
      </c>
      <c r="C562" s="67"/>
      <c r="D562" s="67"/>
      <c r="E562" s="67"/>
      <c r="F562" s="67"/>
      <c r="G562" s="67"/>
      <c r="H562" s="67"/>
      <c r="I562" s="67"/>
      <c r="J562" s="67"/>
      <c r="K562" s="67"/>
    </row>
    <row r="563" spans="1:11" s="14" customFormat="1" ht="31.5" customHeight="1" x14ac:dyDescent="0.4">
      <c r="B563" s="68" t="s">
        <v>22</v>
      </c>
      <c r="C563" s="69"/>
      <c r="D563" s="69"/>
      <c r="E563" s="69"/>
      <c r="F563" s="49" t="s">
        <v>24</v>
      </c>
      <c r="G563" s="70" t="s">
        <v>25</v>
      </c>
      <c r="H563" s="72" t="s">
        <v>27</v>
      </c>
      <c r="I563" s="75" t="s">
        <v>66</v>
      </c>
      <c r="J563" s="76"/>
      <c r="K563" s="76" t="s">
        <v>29</v>
      </c>
    </row>
    <row r="564" spans="1:11" s="14" customFormat="1" ht="31.5" customHeight="1" x14ac:dyDescent="0.4">
      <c r="B564" s="68" t="s">
        <v>76</v>
      </c>
      <c r="C564" s="79"/>
      <c r="D564" s="26" t="s">
        <v>77</v>
      </c>
      <c r="E564" s="27" t="s">
        <v>77</v>
      </c>
      <c r="F564" s="28" t="s">
        <v>23</v>
      </c>
      <c r="G564" s="71"/>
      <c r="H564" s="73"/>
      <c r="I564" s="75"/>
      <c r="J564" s="77"/>
      <c r="K564" s="77"/>
    </row>
    <row r="565" spans="1:11" s="14" customFormat="1" ht="31.5" customHeight="1" x14ac:dyDescent="0.4">
      <c r="B565" s="80">
        <v>0.1</v>
      </c>
      <c r="C565" s="80">
        <v>0.1</v>
      </c>
      <c r="D565" s="80">
        <v>0.2</v>
      </c>
      <c r="E565" s="80">
        <v>0.2</v>
      </c>
      <c r="F565" s="90">
        <v>0.4</v>
      </c>
      <c r="G565" s="53" t="s">
        <v>26</v>
      </c>
      <c r="H565" s="74"/>
      <c r="I565" s="70"/>
      <c r="J565" s="77"/>
      <c r="K565" s="77"/>
    </row>
    <row r="566" spans="1:11" s="14" customFormat="1" ht="31.5" customHeight="1" x14ac:dyDescent="0.4">
      <c r="A566" s="23" t="s">
        <v>4</v>
      </c>
      <c r="B566" s="81"/>
      <c r="C566" s="81"/>
      <c r="D566" s="81"/>
      <c r="E566" s="81"/>
      <c r="F566" s="91"/>
      <c r="G566" s="29">
        <v>1</v>
      </c>
      <c r="H566" s="28" t="s">
        <v>28</v>
      </c>
      <c r="I566" s="43" t="s">
        <v>65</v>
      </c>
      <c r="J566" s="48" t="s">
        <v>67</v>
      </c>
      <c r="K566" s="78"/>
    </row>
    <row r="567" spans="1:11" s="3" customFormat="1" ht="41.25" customHeight="1" x14ac:dyDescent="0.4">
      <c r="A567" s="30" t="s">
        <v>6</v>
      </c>
      <c r="B567" s="33">
        <v>7</v>
      </c>
      <c r="C567" s="33">
        <v>8</v>
      </c>
      <c r="D567" s="33">
        <v>13</v>
      </c>
      <c r="E567" s="33">
        <v>12</v>
      </c>
      <c r="F567" s="33">
        <v>23</v>
      </c>
      <c r="G567" s="31">
        <f t="shared" ref="G567:G583" si="27">SUM(B567:F567)</f>
        <v>63</v>
      </c>
      <c r="H567" s="38">
        <v>60</v>
      </c>
      <c r="I567" s="32" t="s">
        <v>115</v>
      </c>
      <c r="J567" s="33" t="str">
        <f>IF(G567&gt;=70,"A",IF(G567&gt;=60,"B",IF(G567&gt;=50,"C",IF(G567&gt;=45,"D",IF(G567&gt;=40,"E",IF(G567&lt;=39,"F"))))))</f>
        <v>B</v>
      </c>
      <c r="K567" s="34" t="str">
        <f>IF(G567&gt;=70,"EXCELLENT",IF(G567&gt;=60,"V.GOOD",IF(G567&gt;=50,"GOOD",IF(G567&gt;=45,"PASS",IF(G567&gt;=40,"FAIR",IF(G567&lt;=39,"FAIL"))))))</f>
        <v>V.GOOD</v>
      </c>
    </row>
    <row r="568" spans="1:11" s="3" customFormat="1" ht="41.25" customHeight="1" x14ac:dyDescent="0.4">
      <c r="A568" s="30" t="s">
        <v>7</v>
      </c>
      <c r="B568" s="33">
        <v>10</v>
      </c>
      <c r="C568" s="33">
        <v>7</v>
      </c>
      <c r="D568" s="33">
        <v>13</v>
      </c>
      <c r="E568" s="33">
        <v>13</v>
      </c>
      <c r="F568" s="33">
        <v>18</v>
      </c>
      <c r="G568" s="33">
        <f t="shared" si="27"/>
        <v>61</v>
      </c>
      <c r="H568" s="39">
        <v>58.9</v>
      </c>
      <c r="I568" s="25" t="s">
        <v>113</v>
      </c>
      <c r="J568" s="33" t="str">
        <f t="shared" ref="J568:J583" si="28">IF(G568&gt;=70,"A",IF(G568&gt;=60,"B",IF(G568&gt;=50,"C",IF(G568&gt;=45,"D",IF(G568&gt;=40,"E",IF(G568&lt;=39,"F"))))))</f>
        <v>B</v>
      </c>
      <c r="K568" s="34" t="str">
        <f t="shared" ref="K568:K583" si="29">IF(G568&gt;=70,"EXCELLENT",IF(G568&gt;=60,"V.GOOD",IF(G568&gt;=50,"GOOD",IF(G568&gt;=45,"PASS",IF(G568&gt;=40,"FAIR",IF(G568&lt;=39,"FAIL"))))))</f>
        <v>V.GOOD</v>
      </c>
    </row>
    <row r="569" spans="1:11" s="3" customFormat="1" ht="41.25" customHeight="1" x14ac:dyDescent="0.4">
      <c r="A569" s="30" t="s">
        <v>8</v>
      </c>
      <c r="B569" s="33">
        <v>4</v>
      </c>
      <c r="C569" s="33">
        <v>6</v>
      </c>
      <c r="D569" s="33">
        <v>10</v>
      </c>
      <c r="E569" s="33">
        <v>10</v>
      </c>
      <c r="F569" s="33">
        <v>13</v>
      </c>
      <c r="G569" s="33">
        <f t="shared" si="27"/>
        <v>43</v>
      </c>
      <c r="H569" s="39">
        <v>51.8</v>
      </c>
      <c r="I569" s="25" t="s">
        <v>122</v>
      </c>
      <c r="J569" s="33" t="str">
        <f t="shared" si="28"/>
        <v>E</v>
      </c>
      <c r="K569" s="34" t="str">
        <f t="shared" si="29"/>
        <v>FAIR</v>
      </c>
    </row>
    <row r="570" spans="1:11" s="3" customFormat="1" ht="41.25" customHeight="1" x14ac:dyDescent="0.4">
      <c r="A570" s="30" t="s">
        <v>13</v>
      </c>
      <c r="B570" s="33">
        <v>10</v>
      </c>
      <c r="C570" s="33">
        <v>10</v>
      </c>
      <c r="D570" s="33">
        <v>15</v>
      </c>
      <c r="E570" s="33">
        <v>16</v>
      </c>
      <c r="F570" s="33">
        <v>25</v>
      </c>
      <c r="G570" s="33">
        <f t="shared" si="27"/>
        <v>76</v>
      </c>
      <c r="H570" s="39">
        <v>72.599999999999994</v>
      </c>
      <c r="I570" s="25" t="s">
        <v>115</v>
      </c>
      <c r="J570" s="33" t="str">
        <f t="shared" si="28"/>
        <v>A</v>
      </c>
      <c r="K570" s="34" t="str">
        <f t="shared" si="29"/>
        <v>EXCELLENT</v>
      </c>
    </row>
    <row r="571" spans="1:11" s="3" customFormat="1" ht="41.25" customHeight="1" x14ac:dyDescent="0.4">
      <c r="A571" s="30" t="s">
        <v>9</v>
      </c>
      <c r="B571" s="33">
        <v>6</v>
      </c>
      <c r="C571" s="33">
        <v>5</v>
      </c>
      <c r="D571" s="33">
        <v>10</v>
      </c>
      <c r="E571" s="33">
        <v>16</v>
      </c>
      <c r="F571" s="33">
        <v>35</v>
      </c>
      <c r="G571" s="33">
        <f t="shared" si="27"/>
        <v>72</v>
      </c>
      <c r="H571" s="39">
        <v>71.400000000000006</v>
      </c>
      <c r="I571" s="25" t="s">
        <v>117</v>
      </c>
      <c r="J571" s="33" t="str">
        <f t="shared" si="28"/>
        <v>A</v>
      </c>
      <c r="K571" s="34" t="str">
        <f t="shared" si="29"/>
        <v>EXCELLENT</v>
      </c>
    </row>
    <row r="572" spans="1:11" s="3" customFormat="1" ht="41.25" customHeight="1" x14ac:dyDescent="0.4">
      <c r="A572" s="30" t="s">
        <v>82</v>
      </c>
      <c r="B572" s="33">
        <v>5</v>
      </c>
      <c r="C572" s="33">
        <v>5</v>
      </c>
      <c r="D572" s="33">
        <v>10</v>
      </c>
      <c r="E572" s="33">
        <v>12</v>
      </c>
      <c r="F572" s="33">
        <v>24</v>
      </c>
      <c r="G572" s="33">
        <f t="shared" si="27"/>
        <v>56</v>
      </c>
      <c r="H572" s="39">
        <v>54.7</v>
      </c>
      <c r="I572" s="25" t="s">
        <v>113</v>
      </c>
      <c r="J572" s="33" t="str">
        <f t="shared" si="28"/>
        <v>C</v>
      </c>
      <c r="K572" s="34" t="str">
        <f t="shared" si="29"/>
        <v>GOOD</v>
      </c>
    </row>
    <row r="573" spans="1:11" s="3" customFormat="1" ht="41.25" customHeight="1" x14ac:dyDescent="0.4">
      <c r="A573" s="30" t="s">
        <v>21</v>
      </c>
      <c r="B573" s="33">
        <v>10</v>
      </c>
      <c r="C573" s="33">
        <v>9</v>
      </c>
      <c r="D573" s="33">
        <v>15</v>
      </c>
      <c r="E573" s="33">
        <v>15</v>
      </c>
      <c r="F573" s="33">
        <v>20</v>
      </c>
      <c r="G573" s="33">
        <f t="shared" si="27"/>
        <v>69</v>
      </c>
      <c r="H573" s="39">
        <v>65.2</v>
      </c>
      <c r="I573" s="25" t="s">
        <v>115</v>
      </c>
      <c r="J573" s="33" t="str">
        <f t="shared" si="28"/>
        <v>B</v>
      </c>
      <c r="K573" s="34" t="str">
        <f t="shared" si="29"/>
        <v>V.GOOD</v>
      </c>
    </row>
    <row r="574" spans="1:11" s="3" customFormat="1" ht="41.25" customHeight="1" x14ac:dyDescent="0.4">
      <c r="A574" s="30" t="s">
        <v>10</v>
      </c>
      <c r="B574" s="33">
        <v>10</v>
      </c>
      <c r="C574" s="33">
        <v>10</v>
      </c>
      <c r="D574" s="33">
        <v>14</v>
      </c>
      <c r="E574" s="33">
        <v>15</v>
      </c>
      <c r="F574" s="33">
        <v>28</v>
      </c>
      <c r="G574" s="33">
        <f t="shared" si="27"/>
        <v>77</v>
      </c>
      <c r="H574" s="39">
        <v>71.25</v>
      </c>
      <c r="I574" s="25" t="s">
        <v>113</v>
      </c>
      <c r="J574" s="33" t="str">
        <f t="shared" si="28"/>
        <v>A</v>
      </c>
      <c r="K574" s="34" t="str">
        <f t="shared" si="29"/>
        <v>EXCELLENT</v>
      </c>
    </row>
    <row r="575" spans="1:11" s="3" customFormat="1" ht="41.25" customHeight="1" x14ac:dyDescent="0.4">
      <c r="A575" s="30" t="s">
        <v>12</v>
      </c>
      <c r="B575" s="33">
        <v>10</v>
      </c>
      <c r="C575" s="33">
        <v>10</v>
      </c>
      <c r="D575" s="33">
        <v>19</v>
      </c>
      <c r="E575" s="33">
        <v>20</v>
      </c>
      <c r="F575" s="33">
        <v>40</v>
      </c>
      <c r="G575" s="33">
        <f t="shared" si="27"/>
        <v>99</v>
      </c>
      <c r="H575" s="39">
        <v>79.5</v>
      </c>
      <c r="I575" s="25" t="s">
        <v>111</v>
      </c>
      <c r="J575" s="33" t="str">
        <f t="shared" si="28"/>
        <v>A</v>
      </c>
      <c r="K575" s="34" t="str">
        <f t="shared" si="29"/>
        <v>EXCELLENT</v>
      </c>
    </row>
    <row r="576" spans="1:11" s="3" customFormat="1" ht="41.25" customHeight="1" x14ac:dyDescent="0.4">
      <c r="A576" s="30" t="s">
        <v>11</v>
      </c>
      <c r="B576" s="33">
        <v>9</v>
      </c>
      <c r="C576" s="33">
        <v>8</v>
      </c>
      <c r="D576" s="33">
        <v>15</v>
      </c>
      <c r="E576" s="33">
        <v>15</v>
      </c>
      <c r="F576" s="33">
        <v>26</v>
      </c>
      <c r="G576" s="33">
        <f t="shared" si="27"/>
        <v>73</v>
      </c>
      <c r="H576" s="39">
        <v>66.08</v>
      </c>
      <c r="I576" s="25" t="s">
        <v>116</v>
      </c>
      <c r="J576" s="33" t="str">
        <f t="shared" si="28"/>
        <v>A</v>
      </c>
      <c r="K576" s="34" t="str">
        <f t="shared" si="29"/>
        <v>EXCELLENT</v>
      </c>
    </row>
    <row r="577" spans="1:11" s="3" customFormat="1" ht="41.25" customHeight="1" x14ac:dyDescent="0.4">
      <c r="A577" s="30" t="s">
        <v>14</v>
      </c>
      <c r="B577" s="33">
        <v>7</v>
      </c>
      <c r="C577" s="33">
        <v>8</v>
      </c>
      <c r="D577" s="33">
        <v>17</v>
      </c>
      <c r="E577" s="33">
        <v>13</v>
      </c>
      <c r="F577" s="33">
        <v>31</v>
      </c>
      <c r="G577" s="33">
        <f t="shared" si="27"/>
        <v>76</v>
      </c>
      <c r="H577" s="39">
        <v>69.5</v>
      </c>
      <c r="I577" s="25" t="s">
        <v>116</v>
      </c>
      <c r="J577" s="33" t="str">
        <f t="shared" si="28"/>
        <v>A</v>
      </c>
      <c r="K577" s="34" t="str">
        <f t="shared" si="29"/>
        <v>EXCELLENT</v>
      </c>
    </row>
    <row r="578" spans="1:11" s="3" customFormat="1" ht="41.25" customHeight="1" x14ac:dyDescent="0.4">
      <c r="A578" s="30" t="s">
        <v>15</v>
      </c>
      <c r="B578" s="33">
        <v>5</v>
      </c>
      <c r="C578" s="33">
        <v>6</v>
      </c>
      <c r="D578" s="33">
        <v>3</v>
      </c>
      <c r="E578" s="33">
        <v>19</v>
      </c>
      <c r="F578" s="33">
        <v>21</v>
      </c>
      <c r="G578" s="33">
        <f t="shared" si="27"/>
        <v>54</v>
      </c>
      <c r="H578" s="39">
        <v>61.75</v>
      </c>
      <c r="I578" s="25" t="s">
        <v>119</v>
      </c>
      <c r="J578" s="33" t="str">
        <f t="shared" si="28"/>
        <v>C</v>
      </c>
      <c r="K578" s="34" t="str">
        <f t="shared" si="29"/>
        <v>GOOD</v>
      </c>
    </row>
    <row r="579" spans="1:11" s="3" customFormat="1" ht="41.25" customHeight="1" x14ac:dyDescent="0.4">
      <c r="A579" s="30" t="s">
        <v>16</v>
      </c>
      <c r="B579" s="33">
        <v>4</v>
      </c>
      <c r="C579" s="33">
        <v>5</v>
      </c>
      <c r="D579" s="33">
        <v>15</v>
      </c>
      <c r="E579" s="33">
        <v>10</v>
      </c>
      <c r="F579" s="33">
        <v>16</v>
      </c>
      <c r="G579" s="33">
        <f t="shared" si="27"/>
        <v>50</v>
      </c>
      <c r="H579" s="39">
        <v>61.17</v>
      </c>
      <c r="I579" s="25" t="s">
        <v>120</v>
      </c>
      <c r="J579" s="33" t="str">
        <f t="shared" si="28"/>
        <v>C</v>
      </c>
      <c r="K579" s="34" t="str">
        <f t="shared" si="29"/>
        <v>GOOD</v>
      </c>
    </row>
    <row r="580" spans="1:11" s="3" customFormat="1" ht="41.25" customHeight="1" x14ac:dyDescent="0.4">
      <c r="A580" s="30" t="s">
        <v>17</v>
      </c>
      <c r="B580" s="33">
        <v>9</v>
      </c>
      <c r="C580" s="33">
        <v>8</v>
      </c>
      <c r="D580" s="33">
        <v>12</v>
      </c>
      <c r="E580" s="33">
        <v>12</v>
      </c>
      <c r="F580" s="33">
        <v>27</v>
      </c>
      <c r="G580" s="33">
        <f t="shared" si="27"/>
        <v>68</v>
      </c>
      <c r="H580" s="39">
        <v>62.6</v>
      </c>
      <c r="I580" s="25" t="s">
        <v>115</v>
      </c>
      <c r="J580" s="33" t="str">
        <f t="shared" si="28"/>
        <v>B</v>
      </c>
      <c r="K580" s="34" t="str">
        <f t="shared" si="29"/>
        <v>V.GOOD</v>
      </c>
    </row>
    <row r="581" spans="1:11" s="3" customFormat="1" ht="41.25" customHeight="1" x14ac:dyDescent="0.4">
      <c r="A581" s="30" t="s">
        <v>18</v>
      </c>
      <c r="B581" s="33">
        <v>7</v>
      </c>
      <c r="C581" s="33">
        <v>7</v>
      </c>
      <c r="D581" s="33">
        <v>6</v>
      </c>
      <c r="E581" s="33">
        <v>16</v>
      </c>
      <c r="F581" s="33">
        <v>26</v>
      </c>
      <c r="G581" s="33">
        <f t="shared" si="27"/>
        <v>62</v>
      </c>
      <c r="H581" s="39">
        <v>70</v>
      </c>
      <c r="I581" s="25" t="s">
        <v>119</v>
      </c>
      <c r="J581" s="33" t="str">
        <f t="shared" si="28"/>
        <v>B</v>
      </c>
      <c r="K581" s="34" t="str">
        <f t="shared" si="29"/>
        <v>V.GOOD</v>
      </c>
    </row>
    <row r="582" spans="1:11" s="3" customFormat="1" ht="41.25" customHeight="1" x14ac:dyDescent="0.4">
      <c r="A582" s="30" t="s">
        <v>19</v>
      </c>
      <c r="B582" s="33">
        <v>5</v>
      </c>
      <c r="C582" s="33">
        <v>5</v>
      </c>
      <c r="D582" s="33">
        <v>10</v>
      </c>
      <c r="E582" s="33">
        <v>20</v>
      </c>
      <c r="F582" s="33">
        <v>31</v>
      </c>
      <c r="G582" s="33">
        <f t="shared" si="27"/>
        <v>71</v>
      </c>
      <c r="H582" s="39">
        <v>69.25</v>
      </c>
      <c r="I582" s="25" t="s">
        <v>118</v>
      </c>
      <c r="J582" s="33" t="str">
        <f t="shared" si="28"/>
        <v>A</v>
      </c>
      <c r="K582" s="34" t="str">
        <f t="shared" si="29"/>
        <v>EXCELLENT</v>
      </c>
    </row>
    <row r="583" spans="1:11" s="3" customFormat="1" ht="41.25" customHeight="1" x14ac:dyDescent="0.4">
      <c r="A583" s="30" t="s">
        <v>20</v>
      </c>
      <c r="B583" s="33">
        <v>10</v>
      </c>
      <c r="C583" s="33">
        <v>10</v>
      </c>
      <c r="D583" s="33">
        <v>11</v>
      </c>
      <c r="E583" s="33">
        <v>17</v>
      </c>
      <c r="F583" s="33">
        <v>25</v>
      </c>
      <c r="G583" s="33">
        <f t="shared" si="27"/>
        <v>73</v>
      </c>
      <c r="H583" s="39">
        <v>67</v>
      </c>
      <c r="I583" s="25" t="s">
        <v>116</v>
      </c>
      <c r="J583" s="33" t="str">
        <f t="shared" si="28"/>
        <v>A</v>
      </c>
      <c r="K583" s="34" t="str">
        <f t="shared" si="29"/>
        <v>EXCELLENT</v>
      </c>
    </row>
    <row r="584" spans="1:11" s="3" customFormat="1" ht="41.25" customHeight="1" x14ac:dyDescent="0.4">
      <c r="A584" s="4"/>
      <c r="B584" s="33"/>
      <c r="C584" s="33"/>
      <c r="D584" s="33"/>
      <c r="E584" s="33"/>
      <c r="F584" s="33"/>
      <c r="G584" s="33"/>
      <c r="H584" s="25"/>
      <c r="I584" s="25"/>
      <c r="J584" s="25"/>
      <c r="K584" s="35"/>
    </row>
    <row r="585" spans="1:11" s="3" customFormat="1" ht="41.25" customHeight="1" x14ac:dyDescent="0.4">
      <c r="A585" s="4"/>
      <c r="B585" s="33"/>
      <c r="C585" s="33"/>
      <c r="D585" s="33"/>
      <c r="E585" s="33"/>
      <c r="F585" s="33"/>
      <c r="G585" s="33"/>
      <c r="H585" s="25"/>
      <c r="I585" s="25"/>
      <c r="J585" s="25"/>
      <c r="K585" s="35"/>
    </row>
    <row r="586" spans="1:11" s="3" customFormat="1" ht="31.5" customHeight="1" x14ac:dyDescent="0.35">
      <c r="A586" s="5"/>
    </row>
    <row r="587" spans="1:11" s="3" customFormat="1" ht="31.5" customHeight="1" x14ac:dyDescent="0.45">
      <c r="A587" s="56" t="s">
        <v>58</v>
      </c>
      <c r="B587" s="36">
        <f>SUM(G567:G583)</f>
        <v>1143</v>
      </c>
      <c r="C587" s="22"/>
      <c r="D587" s="22"/>
      <c r="E587" s="37"/>
      <c r="F587" s="83" t="s">
        <v>49</v>
      </c>
      <c r="G587" s="83"/>
      <c r="H587" s="93">
        <f>B587</f>
        <v>1143</v>
      </c>
      <c r="I587" s="93"/>
      <c r="J587" s="92" t="s">
        <v>50</v>
      </c>
      <c r="K587" s="82">
        <f>H587/17</f>
        <v>67.235294117647058</v>
      </c>
    </row>
    <row r="588" spans="1:11" s="3" customFormat="1" ht="31.5" customHeight="1" x14ac:dyDescent="0.45">
      <c r="A588" s="37"/>
      <c r="B588" s="22"/>
      <c r="C588" s="22"/>
      <c r="D588" s="22"/>
      <c r="E588" s="37"/>
      <c r="F588" s="37"/>
      <c r="G588" s="37"/>
      <c r="H588" s="83">
        <v>17</v>
      </c>
      <c r="I588" s="83"/>
      <c r="J588" s="92"/>
      <c r="K588" s="82"/>
    </row>
    <row r="589" spans="1:11" s="3" customFormat="1" ht="31.5" customHeight="1" x14ac:dyDescent="0.35">
      <c r="A589" s="5"/>
      <c r="E589" s="5"/>
      <c r="F589" s="5"/>
      <c r="G589" s="5"/>
      <c r="H589" s="8"/>
      <c r="I589" s="8"/>
      <c r="J589" s="12"/>
      <c r="K589" s="13"/>
    </row>
    <row r="590" spans="1:11" s="3" customFormat="1" ht="33.75" customHeight="1" x14ac:dyDescent="0.35">
      <c r="A590" s="5"/>
      <c r="D590" s="84" t="s">
        <v>30</v>
      </c>
      <c r="E590" s="84"/>
      <c r="F590" s="84"/>
      <c r="G590" s="84"/>
      <c r="H590" s="84"/>
    </row>
    <row r="591" spans="1:11" s="3" customFormat="1" ht="33.75" customHeight="1" x14ac:dyDescent="0.35">
      <c r="A591" s="85" t="s">
        <v>31</v>
      </c>
      <c r="B591" s="86"/>
      <c r="C591" s="87"/>
      <c r="D591" s="41" t="s">
        <v>44</v>
      </c>
      <c r="E591" s="41" t="s">
        <v>45</v>
      </c>
      <c r="F591" s="41" t="s">
        <v>46</v>
      </c>
      <c r="G591" s="41" t="s">
        <v>47</v>
      </c>
      <c r="H591" s="41" t="s">
        <v>48</v>
      </c>
      <c r="I591" s="9"/>
      <c r="J591" s="11" t="s">
        <v>51</v>
      </c>
      <c r="K591" s="5"/>
    </row>
    <row r="592" spans="1:11" s="3" customFormat="1" ht="33.75" customHeight="1" x14ac:dyDescent="0.35">
      <c r="A592" s="88" t="s">
        <v>32</v>
      </c>
      <c r="B592" s="88"/>
      <c r="C592" s="88"/>
      <c r="D592" s="45" t="s">
        <v>124</v>
      </c>
      <c r="E592" s="7"/>
      <c r="F592" s="7"/>
      <c r="G592" s="7"/>
      <c r="H592" s="7"/>
      <c r="I592" s="9"/>
      <c r="J592" s="5" t="s">
        <v>52</v>
      </c>
      <c r="K592" s="5"/>
    </row>
    <row r="593" spans="1:11" s="3" customFormat="1" ht="33.75" customHeight="1" x14ac:dyDescent="0.35">
      <c r="A593" s="88" t="s">
        <v>33</v>
      </c>
      <c r="B593" s="88"/>
      <c r="C593" s="88"/>
      <c r="D593" s="45" t="s">
        <v>124</v>
      </c>
      <c r="E593" s="7"/>
      <c r="F593" s="7"/>
      <c r="G593" s="7"/>
      <c r="H593" s="7"/>
      <c r="I593" s="9"/>
      <c r="J593" s="5" t="s">
        <v>53</v>
      </c>
      <c r="K593" s="5"/>
    </row>
    <row r="594" spans="1:11" s="3" customFormat="1" ht="33.75" customHeight="1" x14ac:dyDescent="0.35">
      <c r="A594" s="88" t="s">
        <v>34</v>
      </c>
      <c r="B594" s="88"/>
      <c r="C594" s="88"/>
      <c r="D594" s="7"/>
      <c r="E594" s="45" t="s">
        <v>124</v>
      </c>
      <c r="F594" s="7"/>
      <c r="G594" s="7"/>
      <c r="H594" s="7"/>
      <c r="I594" s="9"/>
      <c r="J594" s="5" t="s">
        <v>54</v>
      </c>
      <c r="K594" s="5"/>
    </row>
    <row r="595" spans="1:11" s="3" customFormat="1" ht="33.75" customHeight="1" x14ac:dyDescent="0.35">
      <c r="A595" s="88" t="s">
        <v>35</v>
      </c>
      <c r="B595" s="88"/>
      <c r="C595" s="88"/>
      <c r="D595" s="7"/>
      <c r="E595" s="45" t="s">
        <v>124</v>
      </c>
      <c r="F595" s="7"/>
      <c r="G595" s="7"/>
      <c r="H595" s="7"/>
      <c r="I595" s="9"/>
      <c r="J595" s="5" t="s">
        <v>55</v>
      </c>
      <c r="K595" s="5"/>
    </row>
    <row r="596" spans="1:11" s="3" customFormat="1" ht="33.75" customHeight="1" x14ac:dyDescent="0.35">
      <c r="A596" s="88" t="s">
        <v>36</v>
      </c>
      <c r="B596" s="88"/>
      <c r="C596" s="88"/>
      <c r="D596" s="45" t="s">
        <v>124</v>
      </c>
      <c r="E596" s="7"/>
      <c r="F596" s="7"/>
      <c r="G596" s="7"/>
      <c r="H596" s="7"/>
      <c r="I596" s="9"/>
      <c r="J596" s="5" t="s">
        <v>56</v>
      </c>
      <c r="K596" s="5"/>
    </row>
    <row r="597" spans="1:11" s="3" customFormat="1" ht="33.75" customHeight="1" x14ac:dyDescent="0.35">
      <c r="A597" s="88" t="s">
        <v>37</v>
      </c>
      <c r="B597" s="88"/>
      <c r="C597" s="88"/>
      <c r="D597" s="45" t="s">
        <v>124</v>
      </c>
      <c r="E597" s="7"/>
      <c r="F597" s="7"/>
      <c r="G597" s="7"/>
      <c r="H597" s="7"/>
      <c r="I597" s="9"/>
      <c r="J597" s="5" t="s">
        <v>57</v>
      </c>
      <c r="K597" s="5"/>
    </row>
    <row r="598" spans="1:11" s="3" customFormat="1" ht="33.75" customHeight="1" x14ac:dyDescent="0.35">
      <c r="A598" s="88" t="s">
        <v>38</v>
      </c>
      <c r="B598" s="88"/>
      <c r="C598" s="88"/>
      <c r="D598" s="45" t="s">
        <v>124</v>
      </c>
      <c r="E598" s="7"/>
      <c r="F598" s="7"/>
      <c r="G598" s="7"/>
      <c r="H598" s="7"/>
      <c r="I598" s="9"/>
    </row>
    <row r="599" spans="1:11" s="3" customFormat="1" ht="33.75" customHeight="1" x14ac:dyDescent="0.35">
      <c r="A599" s="88" t="s">
        <v>39</v>
      </c>
      <c r="B599" s="88"/>
      <c r="C599" s="88"/>
      <c r="D599" s="7"/>
      <c r="E599" s="45" t="s">
        <v>124</v>
      </c>
      <c r="F599" s="7"/>
      <c r="G599" s="7"/>
      <c r="H599" s="7"/>
      <c r="I599" s="9"/>
    </row>
    <row r="600" spans="1:11" s="3" customFormat="1" ht="33.75" customHeight="1" x14ac:dyDescent="0.35">
      <c r="A600" s="88" t="s">
        <v>40</v>
      </c>
      <c r="B600" s="88"/>
      <c r="C600" s="88"/>
      <c r="D600" s="45"/>
      <c r="E600" s="45" t="s">
        <v>124</v>
      </c>
      <c r="F600" s="7"/>
      <c r="G600" s="7"/>
      <c r="H600" s="7"/>
      <c r="I600" s="9"/>
    </row>
    <row r="601" spans="1:11" s="3" customFormat="1" ht="33.75" customHeight="1" x14ac:dyDescent="0.35">
      <c r="A601" s="88" t="s">
        <v>41</v>
      </c>
      <c r="B601" s="88"/>
      <c r="C601" s="88"/>
      <c r="D601" s="45" t="s">
        <v>124</v>
      </c>
      <c r="E601" s="7"/>
      <c r="F601" s="7"/>
      <c r="G601" s="7"/>
      <c r="H601" s="7"/>
      <c r="I601" s="9"/>
    </row>
    <row r="602" spans="1:11" s="3" customFormat="1" ht="33.75" customHeight="1" x14ac:dyDescent="0.35">
      <c r="A602" s="88" t="s">
        <v>42</v>
      </c>
      <c r="B602" s="88"/>
      <c r="C602" s="88"/>
      <c r="D602" s="7"/>
      <c r="E602" s="45" t="s">
        <v>124</v>
      </c>
      <c r="F602" s="7"/>
      <c r="G602" s="7"/>
      <c r="H602" s="7"/>
      <c r="I602" s="9"/>
    </row>
    <row r="603" spans="1:11" s="3" customFormat="1" ht="33.75" customHeight="1" x14ac:dyDescent="0.35">
      <c r="A603" s="88" t="s">
        <v>43</v>
      </c>
      <c r="B603" s="88"/>
      <c r="C603" s="88"/>
      <c r="D603" s="45" t="s">
        <v>124</v>
      </c>
      <c r="E603" s="7"/>
      <c r="F603" s="7"/>
      <c r="G603" s="7"/>
      <c r="H603" s="7"/>
      <c r="I603" s="9"/>
    </row>
    <row r="604" spans="1:11" ht="52.5" customHeight="1" x14ac:dyDescent="0.25"/>
    <row r="605" spans="1:11" s="15" customFormat="1" ht="31.5" customHeight="1" x14ac:dyDescent="0.4">
      <c r="A605" s="17" t="s">
        <v>78</v>
      </c>
      <c r="B605" s="17"/>
      <c r="C605" s="94" t="s">
        <v>132</v>
      </c>
      <c r="D605" s="94"/>
      <c r="E605" s="94"/>
      <c r="F605" s="94"/>
      <c r="G605" s="94"/>
      <c r="H605" s="94"/>
      <c r="I605" s="94"/>
      <c r="J605" s="94"/>
      <c r="K605" s="16"/>
    </row>
    <row r="606" spans="1:11" s="15" customFormat="1" ht="42.75" customHeight="1" x14ac:dyDescent="0.4">
      <c r="A606" s="17" t="s">
        <v>80</v>
      </c>
      <c r="B606" s="17"/>
      <c r="C606" s="95" t="s">
        <v>107</v>
      </c>
      <c r="D606" s="95"/>
      <c r="E606" s="95"/>
      <c r="F606" s="95"/>
      <c r="G606" s="95"/>
      <c r="H606" s="95"/>
      <c r="I606" s="16"/>
      <c r="J606" s="16"/>
      <c r="K606" s="16"/>
    </row>
    <row r="607" spans="1:11" s="15" customFormat="1" ht="31.5" customHeight="1" x14ac:dyDescent="0.4">
      <c r="A607" s="17"/>
      <c r="B607" s="17"/>
      <c r="C607" s="18"/>
      <c r="D607" s="18"/>
      <c r="E607" s="18"/>
      <c r="F607" s="18"/>
      <c r="G607" s="18"/>
      <c r="H607" s="18"/>
      <c r="I607" s="16"/>
      <c r="J607" s="16"/>
      <c r="K607" s="16"/>
    </row>
    <row r="608" spans="1:11" s="15" customFormat="1" ht="31.5" customHeight="1" x14ac:dyDescent="0.4">
      <c r="A608" s="17" t="s">
        <v>81</v>
      </c>
      <c r="B608" s="17"/>
      <c r="C608" s="94" t="s">
        <v>133</v>
      </c>
      <c r="D608" s="94"/>
      <c r="E608" s="94"/>
      <c r="F608" s="94"/>
      <c r="G608" s="94"/>
      <c r="H608" s="94"/>
      <c r="I608" s="94"/>
      <c r="J608" s="94"/>
      <c r="K608" s="16"/>
    </row>
    <row r="609" spans="1:11" s="15" customFormat="1" ht="46.5" customHeight="1" x14ac:dyDescent="0.4">
      <c r="A609" s="17" t="s">
        <v>80</v>
      </c>
      <c r="B609" s="17"/>
      <c r="C609" s="95" t="s">
        <v>107</v>
      </c>
      <c r="D609" s="95"/>
      <c r="E609" s="95"/>
      <c r="F609" s="95"/>
      <c r="G609" s="95"/>
      <c r="H609" s="95"/>
      <c r="I609" s="16"/>
      <c r="J609" s="16"/>
      <c r="K609" s="16"/>
    </row>
    <row r="611" spans="1:11" ht="66" customHeight="1" x14ac:dyDescent="0.25">
      <c r="A611" s="62" t="s">
        <v>0</v>
      </c>
      <c r="B611" s="62"/>
      <c r="C611" s="62"/>
      <c r="D611" s="62"/>
      <c r="E611" s="62"/>
      <c r="F611" s="62"/>
      <c r="G611" s="62"/>
      <c r="H611" s="62"/>
      <c r="I611" s="62"/>
      <c r="J611" s="62"/>
      <c r="K611" s="62"/>
    </row>
    <row r="612" spans="1:11" ht="27.75" customHeight="1" x14ac:dyDescent="0.3">
      <c r="A612" s="63" t="s">
        <v>1</v>
      </c>
      <c r="B612" s="63"/>
      <c r="C612" s="63"/>
      <c r="D612" s="63"/>
      <c r="E612" s="63"/>
      <c r="F612" s="63"/>
      <c r="G612" s="63"/>
      <c r="H612" s="63"/>
      <c r="I612" s="63"/>
      <c r="J612" s="63"/>
      <c r="K612" s="63"/>
    </row>
    <row r="613" spans="1:11" ht="46.5" customHeight="1" x14ac:dyDescent="0.25">
      <c r="A613" s="64" t="s">
        <v>2</v>
      </c>
      <c r="B613" s="64"/>
      <c r="C613" s="64"/>
      <c r="D613" s="64"/>
      <c r="E613" s="64"/>
      <c r="F613" s="64"/>
      <c r="G613" s="64"/>
      <c r="H613" s="64"/>
      <c r="I613" s="64"/>
      <c r="J613" s="64"/>
      <c r="K613" s="64"/>
    </row>
    <row r="614" spans="1:11" ht="39" customHeight="1" x14ac:dyDescent="0.55000000000000004">
      <c r="A614" s="65" t="s">
        <v>3</v>
      </c>
      <c r="B614" s="65"/>
      <c r="C614" s="65"/>
      <c r="D614" s="65"/>
      <c r="E614" s="65"/>
      <c r="F614" s="65"/>
      <c r="G614" s="65"/>
      <c r="H614" s="65"/>
      <c r="I614" s="65"/>
      <c r="J614" s="65"/>
      <c r="K614" s="65"/>
    </row>
    <row r="615" spans="1:11" ht="31.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s="20" customFormat="1" ht="31.5" customHeight="1" x14ac:dyDescent="0.4">
      <c r="A616" s="19" t="s">
        <v>60</v>
      </c>
      <c r="B616" s="59" t="s">
        <v>93</v>
      </c>
      <c r="C616" s="59"/>
      <c r="D616" s="59"/>
      <c r="E616" s="59"/>
      <c r="F616" s="59"/>
      <c r="G616" s="19" t="s">
        <v>59</v>
      </c>
      <c r="H616" s="47" t="s">
        <v>94</v>
      </c>
      <c r="I616" s="19" t="s">
        <v>75</v>
      </c>
      <c r="J616" s="59" t="s">
        <v>91</v>
      </c>
      <c r="K616" s="59"/>
    </row>
    <row r="617" spans="1:11" s="20" customFormat="1" ht="31.5" customHeight="1" x14ac:dyDescent="0.4">
      <c r="A617" s="19" t="s">
        <v>61</v>
      </c>
      <c r="B617" s="59"/>
      <c r="C617" s="59"/>
      <c r="D617" s="19" t="s">
        <v>68</v>
      </c>
      <c r="E617" s="59"/>
      <c r="F617" s="59"/>
      <c r="G617" s="59"/>
      <c r="H617" s="59"/>
      <c r="I617" s="19" t="s">
        <v>69</v>
      </c>
      <c r="J617" s="59" t="s">
        <v>85</v>
      </c>
      <c r="K617" s="59"/>
    </row>
    <row r="618" spans="1:11" s="20" customFormat="1" ht="35.25" customHeight="1" x14ac:dyDescent="0.4">
      <c r="A618" s="19" t="s">
        <v>63</v>
      </c>
      <c r="B618" s="47" t="s">
        <v>64</v>
      </c>
      <c r="C618" s="47"/>
      <c r="D618" s="47"/>
      <c r="E618" s="55"/>
      <c r="F618" s="19" t="s">
        <v>62</v>
      </c>
      <c r="H618" s="47">
        <v>12</v>
      </c>
      <c r="I618" s="19" t="s">
        <v>70</v>
      </c>
      <c r="J618" s="59"/>
      <c r="K618" s="59"/>
    </row>
    <row r="619" spans="1:11" s="20" customFormat="1" ht="39" customHeight="1" x14ac:dyDescent="0.4">
      <c r="A619" s="19" t="s">
        <v>71</v>
      </c>
      <c r="B619" s="21" t="s">
        <v>86</v>
      </c>
      <c r="C619" s="21"/>
      <c r="D619" s="21"/>
      <c r="E619" s="21"/>
      <c r="F619" s="19" t="s">
        <v>73</v>
      </c>
      <c r="G619" s="19"/>
      <c r="H619" s="24" t="s">
        <v>87</v>
      </c>
      <c r="I619" s="21"/>
      <c r="J619" s="21"/>
      <c r="K619" s="21"/>
    </row>
    <row r="620" spans="1:11" s="20" customFormat="1" ht="39.75" customHeight="1" x14ac:dyDescent="0.4">
      <c r="A620" s="19" t="s">
        <v>72</v>
      </c>
      <c r="B620" s="21"/>
      <c r="C620" s="60"/>
      <c r="D620" s="60"/>
      <c r="E620" s="60"/>
      <c r="F620" s="19" t="s">
        <v>74</v>
      </c>
      <c r="G620" s="19"/>
      <c r="H620" s="61"/>
      <c r="I620" s="61"/>
      <c r="J620" s="61"/>
      <c r="K620" s="61"/>
    </row>
    <row r="621" spans="1:11" s="20" customFormat="1" ht="21" customHeight="1" x14ac:dyDescent="0.4">
      <c r="A621" s="19"/>
      <c r="B621" s="21"/>
      <c r="C621" s="51"/>
      <c r="D621" s="51"/>
      <c r="E621" s="51"/>
      <c r="F621" s="19"/>
      <c r="G621" s="19"/>
      <c r="H621" s="52"/>
      <c r="I621" s="52"/>
      <c r="J621" s="52"/>
      <c r="K621" s="52"/>
    </row>
    <row r="622" spans="1:11" s="14" customFormat="1" ht="36.75" customHeight="1" x14ac:dyDescent="0.45">
      <c r="A622" s="15"/>
      <c r="B622" s="67" t="s">
        <v>5</v>
      </c>
      <c r="C622" s="67"/>
      <c r="D622" s="67"/>
      <c r="E622" s="67"/>
      <c r="F622" s="67"/>
      <c r="G622" s="67"/>
      <c r="H622" s="67"/>
      <c r="I622" s="67"/>
      <c r="J622" s="67"/>
      <c r="K622" s="67"/>
    </row>
    <row r="623" spans="1:11" s="14" customFormat="1" ht="31.5" customHeight="1" x14ac:dyDescent="0.4">
      <c r="B623" s="68" t="s">
        <v>22</v>
      </c>
      <c r="C623" s="69"/>
      <c r="D623" s="69"/>
      <c r="E623" s="69"/>
      <c r="F623" s="49" t="s">
        <v>24</v>
      </c>
      <c r="G623" s="70" t="s">
        <v>25</v>
      </c>
      <c r="H623" s="72" t="s">
        <v>27</v>
      </c>
      <c r="I623" s="75" t="s">
        <v>66</v>
      </c>
      <c r="J623" s="76"/>
      <c r="K623" s="76" t="s">
        <v>29</v>
      </c>
    </row>
    <row r="624" spans="1:11" s="14" customFormat="1" ht="31.5" customHeight="1" x14ac:dyDescent="0.4">
      <c r="B624" s="68" t="s">
        <v>76</v>
      </c>
      <c r="C624" s="79"/>
      <c r="D624" s="26" t="s">
        <v>77</v>
      </c>
      <c r="E624" s="27" t="s">
        <v>77</v>
      </c>
      <c r="F624" s="28" t="s">
        <v>23</v>
      </c>
      <c r="G624" s="71"/>
      <c r="H624" s="73"/>
      <c r="I624" s="75"/>
      <c r="J624" s="77"/>
      <c r="K624" s="77"/>
    </row>
    <row r="625" spans="1:11" s="14" customFormat="1" ht="31.5" customHeight="1" x14ac:dyDescent="0.4">
      <c r="B625" s="80">
        <v>0.1</v>
      </c>
      <c r="C625" s="80">
        <v>0.1</v>
      </c>
      <c r="D625" s="80">
        <v>0.2</v>
      </c>
      <c r="E625" s="80">
        <v>0.2</v>
      </c>
      <c r="F625" s="90">
        <v>0.4</v>
      </c>
      <c r="G625" s="53" t="s">
        <v>26</v>
      </c>
      <c r="H625" s="74"/>
      <c r="I625" s="70"/>
      <c r="J625" s="77"/>
      <c r="K625" s="77"/>
    </row>
    <row r="626" spans="1:11" s="14" customFormat="1" ht="31.5" customHeight="1" x14ac:dyDescent="0.4">
      <c r="A626" s="23" t="s">
        <v>4</v>
      </c>
      <c r="B626" s="81"/>
      <c r="C626" s="81"/>
      <c r="D626" s="81"/>
      <c r="E626" s="81"/>
      <c r="F626" s="91"/>
      <c r="G626" s="29">
        <v>1</v>
      </c>
      <c r="H626" s="28" t="s">
        <v>28</v>
      </c>
      <c r="I626" s="43" t="s">
        <v>65</v>
      </c>
      <c r="J626" s="48" t="s">
        <v>67</v>
      </c>
      <c r="K626" s="78"/>
    </row>
    <row r="627" spans="1:11" s="3" customFormat="1" ht="41.25" customHeight="1" x14ac:dyDescent="0.4">
      <c r="A627" s="30" t="s">
        <v>6</v>
      </c>
      <c r="B627" s="33">
        <v>7</v>
      </c>
      <c r="C627" s="33">
        <v>8</v>
      </c>
      <c r="D627" s="33">
        <v>8</v>
      </c>
      <c r="E627" s="33">
        <v>5</v>
      </c>
      <c r="F627" s="33">
        <v>19</v>
      </c>
      <c r="G627" s="31">
        <f t="shared" ref="G627:G643" si="30">SUM(B627:F627)</f>
        <v>47</v>
      </c>
      <c r="H627" s="38">
        <v>60</v>
      </c>
      <c r="I627" s="31" t="s">
        <v>123</v>
      </c>
      <c r="J627" s="33" t="str">
        <f>IF(G627&gt;=70,"A",IF(G627&gt;=60,"B",IF(G627&gt;=50,"C",IF(G627&gt;=45,"D",IF(G627&gt;=40,"E",IF(G627&lt;=39,"F"))))))</f>
        <v>D</v>
      </c>
      <c r="K627" s="34" t="str">
        <f>IF(G627&gt;=70,"EXCELLENT",IF(G627&gt;=60,"V.GOOD",IF(G627&gt;=50,"GOOD",IF(G627&gt;=45,"PASS",IF(G627&gt;=40,"FAIR",IF(G627&lt;=39,"FAIL"))))))</f>
        <v>PASS</v>
      </c>
    </row>
    <row r="628" spans="1:11" s="3" customFormat="1" ht="41.25" customHeight="1" x14ac:dyDescent="0.4">
      <c r="A628" s="30" t="s">
        <v>7</v>
      </c>
      <c r="B628" s="33">
        <v>3</v>
      </c>
      <c r="C628" s="33">
        <v>2</v>
      </c>
      <c r="D628" s="33">
        <v>7</v>
      </c>
      <c r="E628" s="33">
        <v>7</v>
      </c>
      <c r="F628" s="33">
        <v>12</v>
      </c>
      <c r="G628" s="33">
        <f t="shared" si="30"/>
        <v>31</v>
      </c>
      <c r="H628" s="39">
        <v>58.9</v>
      </c>
      <c r="I628" s="33" t="s">
        <v>123</v>
      </c>
      <c r="J628" s="33" t="str">
        <f t="shared" ref="J628:J643" si="31">IF(G628&gt;=70,"A",IF(G628&gt;=60,"B",IF(G628&gt;=50,"C",IF(G628&gt;=45,"D",IF(G628&gt;=40,"E",IF(G628&lt;=39,"F"))))))</f>
        <v>F</v>
      </c>
      <c r="K628" s="34" t="str">
        <f t="shared" ref="K628:K643" si="32">IF(G628&gt;=70,"EXCELLENT",IF(G628&gt;=60,"V.GOOD",IF(G628&gt;=50,"GOOD",IF(G628&gt;=45,"PASS",IF(G628&gt;=40,"FAIR",IF(G628&lt;=39,"FAIL"))))))</f>
        <v>FAIL</v>
      </c>
    </row>
    <row r="629" spans="1:11" s="3" customFormat="1" ht="41.25" customHeight="1" x14ac:dyDescent="0.4">
      <c r="A629" s="30" t="s">
        <v>8</v>
      </c>
      <c r="B629" s="33">
        <v>6</v>
      </c>
      <c r="C629" s="33">
        <v>6</v>
      </c>
      <c r="D629" s="33">
        <v>14</v>
      </c>
      <c r="E629" s="33">
        <v>8</v>
      </c>
      <c r="F629" s="33">
        <v>12</v>
      </c>
      <c r="G629" s="33">
        <f t="shared" si="30"/>
        <v>46</v>
      </c>
      <c r="H629" s="39">
        <v>51.8</v>
      </c>
      <c r="I629" s="31" t="s">
        <v>121</v>
      </c>
      <c r="J629" s="33" t="str">
        <f t="shared" si="31"/>
        <v>D</v>
      </c>
      <c r="K629" s="34" t="str">
        <f t="shared" si="32"/>
        <v>PASS</v>
      </c>
    </row>
    <row r="630" spans="1:11" s="3" customFormat="1" ht="41.25" customHeight="1" x14ac:dyDescent="0.4">
      <c r="A630" s="30" t="s">
        <v>13</v>
      </c>
      <c r="B630" s="33">
        <v>10</v>
      </c>
      <c r="C630" s="33">
        <v>10</v>
      </c>
      <c r="D630" s="33">
        <v>11</v>
      </c>
      <c r="E630" s="33">
        <v>12</v>
      </c>
      <c r="F630" s="33">
        <v>19</v>
      </c>
      <c r="G630" s="33">
        <f t="shared" si="30"/>
        <v>62</v>
      </c>
      <c r="H630" s="39">
        <v>72.599999999999994</v>
      </c>
      <c r="I630" s="33" t="s">
        <v>122</v>
      </c>
      <c r="J630" s="33" t="str">
        <f t="shared" si="31"/>
        <v>B</v>
      </c>
      <c r="K630" s="34" t="str">
        <f t="shared" si="32"/>
        <v>V.GOOD</v>
      </c>
    </row>
    <row r="631" spans="1:11" s="3" customFormat="1" ht="41.25" customHeight="1" x14ac:dyDescent="0.4">
      <c r="A631" s="30" t="s">
        <v>9</v>
      </c>
      <c r="B631" s="33">
        <v>3</v>
      </c>
      <c r="C631" s="33">
        <v>2</v>
      </c>
      <c r="D631" s="33">
        <v>7</v>
      </c>
      <c r="E631" s="33">
        <v>5</v>
      </c>
      <c r="F631" s="33">
        <v>29</v>
      </c>
      <c r="G631" s="33">
        <f t="shared" si="30"/>
        <v>46</v>
      </c>
      <c r="H631" s="39">
        <v>71.400000000000006</v>
      </c>
      <c r="I631" s="31" t="s">
        <v>123</v>
      </c>
      <c r="J631" s="33" t="str">
        <f t="shared" si="31"/>
        <v>D</v>
      </c>
      <c r="K631" s="34" t="str">
        <f t="shared" si="32"/>
        <v>PASS</v>
      </c>
    </row>
    <row r="632" spans="1:11" s="3" customFormat="1" ht="41.25" customHeight="1" x14ac:dyDescent="0.4">
      <c r="A632" s="30" t="s">
        <v>82</v>
      </c>
      <c r="B632" s="33">
        <v>4</v>
      </c>
      <c r="C632" s="33">
        <v>5</v>
      </c>
      <c r="D632" s="33">
        <v>7</v>
      </c>
      <c r="E632" s="33">
        <v>5</v>
      </c>
      <c r="F632" s="33">
        <v>15</v>
      </c>
      <c r="G632" s="33">
        <f t="shared" si="30"/>
        <v>36</v>
      </c>
      <c r="H632" s="39">
        <v>54.7</v>
      </c>
      <c r="I632" s="33" t="s">
        <v>123</v>
      </c>
      <c r="J632" s="33" t="str">
        <f t="shared" si="31"/>
        <v>F</v>
      </c>
      <c r="K632" s="34" t="str">
        <f t="shared" si="32"/>
        <v>FAIL</v>
      </c>
    </row>
    <row r="633" spans="1:11" s="3" customFormat="1" ht="41.25" customHeight="1" x14ac:dyDescent="0.4">
      <c r="A633" s="30" t="s">
        <v>21</v>
      </c>
      <c r="B633" s="33">
        <v>9</v>
      </c>
      <c r="C633" s="33">
        <v>10</v>
      </c>
      <c r="D633" s="33">
        <v>8</v>
      </c>
      <c r="E633" s="33">
        <v>9</v>
      </c>
      <c r="F633" s="33">
        <v>18</v>
      </c>
      <c r="G633" s="33">
        <f t="shared" si="30"/>
        <v>54</v>
      </c>
      <c r="H633" s="39">
        <v>65.2</v>
      </c>
      <c r="I633" s="31" t="s">
        <v>122</v>
      </c>
      <c r="J633" s="33" t="str">
        <f t="shared" si="31"/>
        <v>C</v>
      </c>
      <c r="K633" s="34" t="str">
        <f t="shared" si="32"/>
        <v>GOOD</v>
      </c>
    </row>
    <row r="634" spans="1:11" s="3" customFormat="1" ht="41.25" customHeight="1" x14ac:dyDescent="0.4">
      <c r="A634" s="30" t="s">
        <v>10</v>
      </c>
      <c r="B634" s="33">
        <v>5</v>
      </c>
      <c r="C634" s="33">
        <v>5</v>
      </c>
      <c r="D634" s="33">
        <v>9</v>
      </c>
      <c r="E634" s="33">
        <v>10</v>
      </c>
      <c r="F634" s="33">
        <v>21</v>
      </c>
      <c r="G634" s="33">
        <f t="shared" si="30"/>
        <v>50</v>
      </c>
      <c r="H634" s="39">
        <v>71.25</v>
      </c>
      <c r="I634" s="33" t="s">
        <v>122</v>
      </c>
      <c r="J634" s="33" t="str">
        <f t="shared" si="31"/>
        <v>C</v>
      </c>
      <c r="K634" s="34" t="str">
        <f t="shared" si="32"/>
        <v>GOOD</v>
      </c>
    </row>
    <row r="635" spans="1:11" s="3" customFormat="1" ht="41.25" customHeight="1" x14ac:dyDescent="0.4">
      <c r="A635" s="30" t="s">
        <v>12</v>
      </c>
      <c r="B635" s="33">
        <v>5</v>
      </c>
      <c r="C635" s="33">
        <v>5</v>
      </c>
      <c r="D635" s="33">
        <v>10</v>
      </c>
      <c r="E635" s="33">
        <v>10</v>
      </c>
      <c r="F635" s="33">
        <v>19</v>
      </c>
      <c r="G635" s="33">
        <f t="shared" si="30"/>
        <v>49</v>
      </c>
      <c r="H635" s="39">
        <v>79.5</v>
      </c>
      <c r="I635" s="31" t="s">
        <v>123</v>
      </c>
      <c r="J635" s="33" t="str">
        <f t="shared" si="31"/>
        <v>D</v>
      </c>
      <c r="K635" s="34" t="str">
        <f t="shared" si="32"/>
        <v>PASS</v>
      </c>
    </row>
    <row r="636" spans="1:11" s="3" customFormat="1" ht="41.25" customHeight="1" x14ac:dyDescent="0.4">
      <c r="A636" s="30" t="s">
        <v>11</v>
      </c>
      <c r="B636" s="33">
        <v>7</v>
      </c>
      <c r="C636" s="33">
        <v>8</v>
      </c>
      <c r="D636" s="33">
        <v>15</v>
      </c>
      <c r="E636" s="33">
        <v>15</v>
      </c>
      <c r="F636" s="33">
        <v>10</v>
      </c>
      <c r="G636" s="33">
        <f t="shared" si="30"/>
        <v>55</v>
      </c>
      <c r="H636" s="39">
        <v>66.08</v>
      </c>
      <c r="I636" s="33" t="s">
        <v>122</v>
      </c>
      <c r="J636" s="33" t="str">
        <f t="shared" si="31"/>
        <v>C</v>
      </c>
      <c r="K636" s="34" t="str">
        <f t="shared" si="32"/>
        <v>GOOD</v>
      </c>
    </row>
    <row r="637" spans="1:11" s="3" customFormat="1" ht="41.25" customHeight="1" x14ac:dyDescent="0.4">
      <c r="A637" s="30" t="s">
        <v>14</v>
      </c>
      <c r="B637" s="33">
        <v>3</v>
      </c>
      <c r="C637" s="33">
        <v>10</v>
      </c>
      <c r="D637" s="33">
        <v>12</v>
      </c>
      <c r="E637" s="33">
        <v>10</v>
      </c>
      <c r="F637" s="33">
        <v>22</v>
      </c>
      <c r="G637" s="33">
        <f t="shared" si="30"/>
        <v>57</v>
      </c>
      <c r="H637" s="39">
        <v>69.5</v>
      </c>
      <c r="I637" s="31" t="s">
        <v>120</v>
      </c>
      <c r="J637" s="33" t="str">
        <f t="shared" si="31"/>
        <v>C</v>
      </c>
      <c r="K637" s="34" t="str">
        <f t="shared" si="32"/>
        <v>GOOD</v>
      </c>
    </row>
    <row r="638" spans="1:11" s="3" customFormat="1" ht="41.25" customHeight="1" x14ac:dyDescent="0.4">
      <c r="A638" s="30" t="s">
        <v>15</v>
      </c>
      <c r="B638" s="33">
        <v>3</v>
      </c>
      <c r="C638" s="33">
        <v>4</v>
      </c>
      <c r="D638" s="33">
        <v>6</v>
      </c>
      <c r="E638" s="33">
        <v>4</v>
      </c>
      <c r="F638" s="33">
        <v>13</v>
      </c>
      <c r="G638" s="33">
        <f t="shared" si="30"/>
        <v>30</v>
      </c>
      <c r="H638" s="39">
        <v>61.75</v>
      </c>
      <c r="I638" s="33" t="s">
        <v>123</v>
      </c>
      <c r="J638" s="33" t="str">
        <f t="shared" si="31"/>
        <v>F</v>
      </c>
      <c r="K638" s="34" t="str">
        <f t="shared" si="32"/>
        <v>FAIL</v>
      </c>
    </row>
    <row r="639" spans="1:11" s="3" customFormat="1" ht="41.25" customHeight="1" x14ac:dyDescent="0.4">
      <c r="A639" s="30" t="s">
        <v>16</v>
      </c>
      <c r="B639" s="33">
        <v>1</v>
      </c>
      <c r="C639" s="33">
        <v>2</v>
      </c>
      <c r="D639" s="33">
        <v>5</v>
      </c>
      <c r="E639" s="33">
        <v>2</v>
      </c>
      <c r="F639" s="33">
        <v>12</v>
      </c>
      <c r="G639" s="33">
        <f t="shared" si="30"/>
        <v>22</v>
      </c>
      <c r="H639" s="39">
        <v>61.17</v>
      </c>
      <c r="I639" s="31" t="s">
        <v>123</v>
      </c>
      <c r="J639" s="33" t="str">
        <f t="shared" si="31"/>
        <v>F</v>
      </c>
      <c r="K639" s="34" t="str">
        <f t="shared" si="32"/>
        <v>FAIL</v>
      </c>
    </row>
    <row r="640" spans="1:11" s="3" customFormat="1" ht="41.25" customHeight="1" x14ac:dyDescent="0.4">
      <c r="A640" s="30" t="s">
        <v>17</v>
      </c>
      <c r="B640" s="33">
        <v>2</v>
      </c>
      <c r="C640" s="33">
        <v>3</v>
      </c>
      <c r="D640" s="33">
        <v>6</v>
      </c>
      <c r="E640" s="33">
        <v>6</v>
      </c>
      <c r="F640" s="33">
        <v>10</v>
      </c>
      <c r="G640" s="33">
        <f t="shared" si="30"/>
        <v>27</v>
      </c>
      <c r="H640" s="39">
        <v>62.6</v>
      </c>
      <c r="I640" s="33" t="s">
        <v>123</v>
      </c>
      <c r="J640" s="33" t="str">
        <f t="shared" si="31"/>
        <v>F</v>
      </c>
      <c r="K640" s="34" t="str">
        <f t="shared" si="32"/>
        <v>FAIL</v>
      </c>
    </row>
    <row r="641" spans="1:11" s="3" customFormat="1" ht="41.25" customHeight="1" x14ac:dyDescent="0.4">
      <c r="A641" s="30" t="s">
        <v>18</v>
      </c>
      <c r="B641" s="33">
        <v>0</v>
      </c>
      <c r="C641" s="33">
        <v>4</v>
      </c>
      <c r="D641" s="33">
        <v>10</v>
      </c>
      <c r="E641" s="33">
        <v>10</v>
      </c>
      <c r="F641" s="33">
        <v>16</v>
      </c>
      <c r="G641" s="33">
        <f t="shared" si="30"/>
        <v>40</v>
      </c>
      <c r="H641" s="39">
        <v>70</v>
      </c>
      <c r="I641" s="31" t="s">
        <v>123</v>
      </c>
      <c r="J641" s="33" t="str">
        <f t="shared" si="31"/>
        <v>E</v>
      </c>
      <c r="K641" s="34" t="str">
        <f t="shared" si="32"/>
        <v>FAIR</v>
      </c>
    </row>
    <row r="642" spans="1:11" s="3" customFormat="1" ht="41.25" customHeight="1" x14ac:dyDescent="0.4">
      <c r="A642" s="30" t="s">
        <v>19</v>
      </c>
      <c r="B642" s="33">
        <v>3</v>
      </c>
      <c r="C642" s="33">
        <v>2</v>
      </c>
      <c r="D642" s="33">
        <v>5</v>
      </c>
      <c r="E642" s="33">
        <v>12</v>
      </c>
      <c r="F642" s="33">
        <v>19</v>
      </c>
      <c r="G642" s="33">
        <f t="shared" si="30"/>
        <v>41</v>
      </c>
      <c r="H642" s="39">
        <v>69.25</v>
      </c>
      <c r="I642" s="33" t="s">
        <v>123</v>
      </c>
      <c r="J642" s="33" t="str">
        <f t="shared" si="31"/>
        <v>E</v>
      </c>
      <c r="K642" s="34" t="str">
        <f t="shared" si="32"/>
        <v>FAIR</v>
      </c>
    </row>
    <row r="643" spans="1:11" s="3" customFormat="1" ht="41.25" customHeight="1" x14ac:dyDescent="0.4">
      <c r="A643" s="30" t="s">
        <v>20</v>
      </c>
      <c r="B643" s="33">
        <v>10</v>
      </c>
      <c r="C643" s="33">
        <v>5</v>
      </c>
      <c r="D643" s="33">
        <v>10</v>
      </c>
      <c r="E643" s="33">
        <v>10</v>
      </c>
      <c r="F643" s="33">
        <v>19</v>
      </c>
      <c r="G643" s="33">
        <f t="shared" si="30"/>
        <v>54</v>
      </c>
      <c r="H643" s="39">
        <v>67</v>
      </c>
      <c r="I643" s="31" t="s">
        <v>122</v>
      </c>
      <c r="J643" s="33" t="str">
        <f t="shared" si="31"/>
        <v>C</v>
      </c>
      <c r="K643" s="34" t="str">
        <f t="shared" si="32"/>
        <v>GOOD</v>
      </c>
    </row>
    <row r="644" spans="1:11" s="3" customFormat="1" ht="41.25" customHeight="1" x14ac:dyDescent="0.4">
      <c r="A644" s="4"/>
      <c r="B644" s="33"/>
      <c r="C644" s="33"/>
      <c r="D644" s="33"/>
      <c r="E644" s="33"/>
      <c r="F644" s="33"/>
      <c r="G644" s="33"/>
      <c r="H644" s="25"/>
      <c r="I644" s="25"/>
      <c r="J644" s="25"/>
      <c r="K644" s="35"/>
    </row>
    <row r="645" spans="1:11" s="3" customFormat="1" ht="41.25" customHeight="1" x14ac:dyDescent="0.4">
      <c r="A645" s="4"/>
      <c r="B645" s="33"/>
      <c r="C645" s="33"/>
      <c r="D645" s="33"/>
      <c r="E645" s="33"/>
      <c r="F645" s="33"/>
      <c r="G645" s="33"/>
      <c r="H645" s="25"/>
      <c r="I645" s="25"/>
      <c r="J645" s="25"/>
      <c r="K645" s="35"/>
    </row>
    <row r="646" spans="1:11" s="3" customFormat="1" ht="31.5" customHeight="1" x14ac:dyDescent="0.35">
      <c r="A646" s="5"/>
    </row>
    <row r="647" spans="1:11" s="3" customFormat="1" ht="31.5" customHeight="1" x14ac:dyDescent="0.45">
      <c r="A647" s="56" t="s">
        <v>58</v>
      </c>
      <c r="B647" s="36">
        <f>SUM(G627:G643)</f>
        <v>747</v>
      </c>
      <c r="C647" s="22"/>
      <c r="D647" s="22"/>
      <c r="E647" s="37"/>
      <c r="F647" s="83" t="s">
        <v>49</v>
      </c>
      <c r="G647" s="83"/>
      <c r="H647" s="93">
        <f>B647</f>
        <v>747</v>
      </c>
      <c r="I647" s="93"/>
      <c r="J647" s="92" t="s">
        <v>50</v>
      </c>
      <c r="K647" s="82">
        <f>H647/17</f>
        <v>43.941176470588232</v>
      </c>
    </row>
    <row r="648" spans="1:11" s="3" customFormat="1" ht="31.5" customHeight="1" x14ac:dyDescent="0.45">
      <c r="A648" s="37"/>
      <c r="B648" s="22"/>
      <c r="C648" s="22"/>
      <c r="D648" s="22"/>
      <c r="E648" s="37"/>
      <c r="F648" s="37"/>
      <c r="G648" s="37"/>
      <c r="H648" s="83">
        <v>17</v>
      </c>
      <c r="I648" s="83"/>
      <c r="J648" s="92"/>
      <c r="K648" s="82"/>
    </row>
    <row r="649" spans="1:11" s="3" customFormat="1" ht="31.5" customHeight="1" x14ac:dyDescent="0.35">
      <c r="A649" s="5"/>
      <c r="E649" s="5"/>
      <c r="F649" s="5"/>
      <c r="G649" s="5"/>
      <c r="H649" s="8"/>
      <c r="I649" s="8"/>
      <c r="J649" s="12"/>
      <c r="K649" s="13"/>
    </row>
    <row r="650" spans="1:11" s="3" customFormat="1" ht="33.75" customHeight="1" x14ac:dyDescent="0.35">
      <c r="A650" s="5"/>
      <c r="D650" s="84" t="s">
        <v>30</v>
      </c>
      <c r="E650" s="84"/>
      <c r="F650" s="84"/>
      <c r="G650" s="84"/>
      <c r="H650" s="84"/>
    </row>
    <row r="651" spans="1:11" s="3" customFormat="1" ht="33.75" customHeight="1" x14ac:dyDescent="0.35">
      <c r="A651" s="85" t="s">
        <v>31</v>
      </c>
      <c r="B651" s="86"/>
      <c r="C651" s="87"/>
      <c r="D651" s="41" t="s">
        <v>44</v>
      </c>
      <c r="E651" s="41" t="s">
        <v>45</v>
      </c>
      <c r="F651" s="41" t="s">
        <v>46</v>
      </c>
      <c r="G651" s="41" t="s">
        <v>47</v>
      </c>
      <c r="H651" s="41" t="s">
        <v>48</v>
      </c>
      <c r="I651" s="9"/>
      <c r="J651" s="11" t="s">
        <v>51</v>
      </c>
      <c r="K651" s="5"/>
    </row>
    <row r="652" spans="1:11" s="3" customFormat="1" ht="33.75" customHeight="1" x14ac:dyDescent="0.35">
      <c r="A652" s="88" t="s">
        <v>32</v>
      </c>
      <c r="B652" s="88"/>
      <c r="C652" s="88"/>
      <c r="D652" s="7"/>
      <c r="E652" s="7"/>
      <c r="F652" s="45" t="s">
        <v>124</v>
      </c>
      <c r="G652" s="7"/>
      <c r="H652" s="7"/>
      <c r="I652" s="9"/>
      <c r="J652" s="5" t="s">
        <v>52</v>
      </c>
      <c r="K652" s="5"/>
    </row>
    <row r="653" spans="1:11" s="3" customFormat="1" ht="33.75" customHeight="1" x14ac:dyDescent="0.35">
      <c r="A653" s="88" t="s">
        <v>33</v>
      </c>
      <c r="B653" s="88"/>
      <c r="C653" s="88"/>
      <c r="D653" s="7"/>
      <c r="E653" s="7"/>
      <c r="F653" s="45" t="s">
        <v>124</v>
      </c>
      <c r="G653" s="7"/>
      <c r="H653" s="7"/>
      <c r="I653" s="9"/>
      <c r="J653" s="5" t="s">
        <v>53</v>
      </c>
      <c r="K653" s="5"/>
    </row>
    <row r="654" spans="1:11" s="3" customFormat="1" ht="33.75" customHeight="1" x14ac:dyDescent="0.35">
      <c r="A654" s="88" t="s">
        <v>34</v>
      </c>
      <c r="B654" s="88"/>
      <c r="C654" s="88"/>
      <c r="D654" s="7"/>
      <c r="E654" s="7"/>
      <c r="F654" s="45" t="s">
        <v>124</v>
      </c>
      <c r="G654" s="7"/>
      <c r="H654" s="7"/>
      <c r="I654" s="9"/>
      <c r="J654" s="5" t="s">
        <v>54</v>
      </c>
      <c r="K654" s="5"/>
    </row>
    <row r="655" spans="1:11" s="3" customFormat="1" ht="33.75" customHeight="1" x14ac:dyDescent="0.35">
      <c r="A655" s="88" t="s">
        <v>35</v>
      </c>
      <c r="B655" s="88"/>
      <c r="C655" s="88"/>
      <c r="D655" s="7"/>
      <c r="E655" s="7"/>
      <c r="F655" s="45" t="s">
        <v>124</v>
      </c>
      <c r="G655" s="7"/>
      <c r="H655" s="7"/>
      <c r="I655" s="9"/>
      <c r="J655" s="5" t="s">
        <v>55</v>
      </c>
      <c r="K655" s="5"/>
    </row>
    <row r="656" spans="1:11" s="3" customFormat="1" ht="33.75" customHeight="1" x14ac:dyDescent="0.35">
      <c r="A656" s="88" t="s">
        <v>36</v>
      </c>
      <c r="B656" s="88"/>
      <c r="C656" s="88"/>
      <c r="D656" s="7"/>
      <c r="E656" s="7"/>
      <c r="F656" s="45" t="s">
        <v>124</v>
      </c>
      <c r="G656" s="7"/>
      <c r="H656" s="7"/>
      <c r="I656" s="9"/>
      <c r="J656" s="5" t="s">
        <v>56</v>
      </c>
      <c r="K656" s="5"/>
    </row>
    <row r="657" spans="1:11" s="3" customFormat="1" ht="33.75" customHeight="1" x14ac:dyDescent="0.35">
      <c r="A657" s="88" t="s">
        <v>37</v>
      </c>
      <c r="B657" s="88"/>
      <c r="C657" s="88"/>
      <c r="D657" s="7"/>
      <c r="E657" s="7"/>
      <c r="F657" s="45" t="s">
        <v>124</v>
      </c>
      <c r="G657" s="7"/>
      <c r="H657" s="7"/>
      <c r="I657" s="9"/>
      <c r="J657" s="5" t="s">
        <v>57</v>
      </c>
      <c r="K657" s="5"/>
    </row>
    <row r="658" spans="1:11" s="3" customFormat="1" ht="33.75" customHeight="1" x14ac:dyDescent="0.35">
      <c r="A658" s="88" t="s">
        <v>38</v>
      </c>
      <c r="B658" s="88"/>
      <c r="C658" s="88"/>
      <c r="D658" s="7"/>
      <c r="E658" s="7"/>
      <c r="F658" s="45" t="s">
        <v>124</v>
      </c>
      <c r="G658" s="7"/>
      <c r="H658" s="7"/>
      <c r="I658" s="9"/>
    </row>
    <row r="659" spans="1:11" s="3" customFormat="1" ht="33.75" customHeight="1" x14ac:dyDescent="0.35">
      <c r="A659" s="88" t="s">
        <v>39</v>
      </c>
      <c r="B659" s="88"/>
      <c r="C659" s="88"/>
      <c r="D659" s="7"/>
      <c r="E659" s="7"/>
      <c r="F659" s="45" t="s">
        <v>124</v>
      </c>
      <c r="G659" s="7"/>
      <c r="H659" s="7"/>
      <c r="I659" s="9"/>
    </row>
    <row r="660" spans="1:11" s="3" customFormat="1" ht="33.75" customHeight="1" x14ac:dyDescent="0.35">
      <c r="A660" s="88" t="s">
        <v>40</v>
      </c>
      <c r="B660" s="88"/>
      <c r="C660" s="88"/>
      <c r="D660" s="7"/>
      <c r="E660" s="7"/>
      <c r="F660" s="45" t="s">
        <v>124</v>
      </c>
      <c r="G660" s="7"/>
      <c r="H660" s="7"/>
      <c r="I660" s="9"/>
    </row>
    <row r="661" spans="1:11" s="3" customFormat="1" ht="33.75" customHeight="1" x14ac:dyDescent="0.35">
      <c r="A661" s="88" t="s">
        <v>41</v>
      </c>
      <c r="B661" s="88"/>
      <c r="C661" s="88"/>
      <c r="D661" s="7"/>
      <c r="E661" s="7"/>
      <c r="F661" s="45" t="s">
        <v>124</v>
      </c>
      <c r="G661" s="7"/>
      <c r="H661" s="7"/>
      <c r="I661" s="9"/>
    </row>
    <row r="662" spans="1:11" s="3" customFormat="1" ht="33.75" customHeight="1" x14ac:dyDescent="0.35">
      <c r="A662" s="88" t="s">
        <v>42</v>
      </c>
      <c r="B662" s="88"/>
      <c r="C662" s="88"/>
      <c r="D662" s="45" t="s">
        <v>124</v>
      </c>
      <c r="E662" s="7"/>
      <c r="F662" s="45"/>
      <c r="G662" s="7"/>
      <c r="H662" s="7"/>
      <c r="I662" s="9"/>
    </row>
    <row r="663" spans="1:11" s="3" customFormat="1" ht="33.75" customHeight="1" x14ac:dyDescent="0.35">
      <c r="A663" s="88" t="s">
        <v>43</v>
      </c>
      <c r="B663" s="88"/>
      <c r="C663" s="88"/>
      <c r="D663" s="7"/>
      <c r="E663" s="7"/>
      <c r="F663" s="45" t="s">
        <v>124</v>
      </c>
      <c r="G663" s="7"/>
      <c r="H663" s="7"/>
      <c r="I663" s="9"/>
    </row>
    <row r="664" spans="1:11" ht="57.75" customHeight="1" x14ac:dyDescent="0.25"/>
    <row r="665" spans="1:11" s="15" customFormat="1" ht="31.5" customHeight="1" x14ac:dyDescent="0.4">
      <c r="A665" s="17" t="s">
        <v>78</v>
      </c>
      <c r="B665" s="17"/>
      <c r="C665" s="98" t="s">
        <v>135</v>
      </c>
      <c r="D665" s="98"/>
      <c r="E665" s="98"/>
      <c r="F665" s="98"/>
      <c r="G665" s="98"/>
      <c r="H665" s="98"/>
      <c r="I665" s="98"/>
      <c r="J665" s="98"/>
      <c r="K665" s="16"/>
    </row>
    <row r="666" spans="1:11" s="15" customFormat="1" ht="42.75" customHeight="1" x14ac:dyDescent="0.4">
      <c r="A666" s="17" t="s">
        <v>80</v>
      </c>
      <c r="B666" s="17"/>
      <c r="C666" s="95" t="s">
        <v>107</v>
      </c>
      <c r="D666" s="95"/>
      <c r="E666" s="95"/>
      <c r="F666" s="95"/>
      <c r="G666" s="95"/>
      <c r="H666" s="95"/>
      <c r="I666" s="16"/>
      <c r="J666" s="16"/>
      <c r="K666" s="16"/>
    </row>
    <row r="667" spans="1:11" s="15" customFormat="1" ht="31.5" customHeight="1" x14ac:dyDescent="0.4">
      <c r="A667" s="17"/>
      <c r="B667" s="17"/>
      <c r="C667" s="18"/>
      <c r="D667" s="18"/>
      <c r="E667" s="18"/>
      <c r="F667" s="18"/>
      <c r="G667" s="18"/>
      <c r="H667" s="18"/>
      <c r="I667" s="16"/>
      <c r="J667" s="16"/>
      <c r="K667" s="16"/>
    </row>
    <row r="668" spans="1:11" s="15" customFormat="1" ht="31.5" customHeight="1" x14ac:dyDescent="0.4">
      <c r="A668" s="17" t="s">
        <v>81</v>
      </c>
      <c r="B668" s="17"/>
      <c r="C668" s="98" t="s">
        <v>136</v>
      </c>
      <c r="D668" s="98"/>
      <c r="E668" s="98"/>
      <c r="F668" s="98"/>
      <c r="G668" s="98"/>
      <c r="H668" s="98"/>
      <c r="I668" s="98"/>
      <c r="J668" s="98"/>
      <c r="K668" s="16"/>
    </row>
    <row r="669" spans="1:11" s="15" customFormat="1" ht="46.5" customHeight="1" x14ac:dyDescent="0.4">
      <c r="A669" s="17" t="s">
        <v>80</v>
      </c>
      <c r="B669" s="17"/>
      <c r="C669" s="95" t="s">
        <v>107</v>
      </c>
      <c r="D669" s="95"/>
      <c r="E669" s="95"/>
      <c r="F669" s="95"/>
      <c r="G669" s="95"/>
      <c r="H669" s="95"/>
      <c r="I669" s="16"/>
      <c r="J669" s="16"/>
      <c r="K669" s="16"/>
    </row>
    <row r="671" spans="1:11" ht="66" customHeight="1" x14ac:dyDescent="0.25">
      <c r="A671" s="62" t="s">
        <v>0</v>
      </c>
      <c r="B671" s="62"/>
      <c r="C671" s="62"/>
      <c r="D671" s="62"/>
      <c r="E671" s="62"/>
      <c r="F671" s="62"/>
      <c r="G671" s="62"/>
      <c r="H671" s="62"/>
      <c r="I671" s="62"/>
      <c r="J671" s="62"/>
      <c r="K671" s="62"/>
    </row>
    <row r="672" spans="1:11" ht="27.75" customHeight="1" x14ac:dyDescent="0.3">
      <c r="A672" s="63" t="s">
        <v>1</v>
      </c>
      <c r="B672" s="63"/>
      <c r="C672" s="63"/>
      <c r="D672" s="63"/>
      <c r="E672" s="63"/>
      <c r="F672" s="63"/>
      <c r="G672" s="63"/>
      <c r="H672" s="63"/>
      <c r="I672" s="63"/>
      <c r="J672" s="63"/>
      <c r="K672" s="63"/>
    </row>
    <row r="673" spans="1:11" ht="46.5" customHeight="1" x14ac:dyDescent="0.25">
      <c r="A673" s="64" t="s">
        <v>2</v>
      </c>
      <c r="B673" s="64"/>
      <c r="C673" s="64"/>
      <c r="D673" s="64"/>
      <c r="E673" s="64"/>
      <c r="F673" s="64"/>
      <c r="G673" s="64"/>
      <c r="H673" s="64"/>
      <c r="I673" s="64"/>
      <c r="J673" s="64"/>
      <c r="K673" s="64"/>
    </row>
    <row r="674" spans="1:11" ht="39" customHeight="1" x14ac:dyDescent="0.55000000000000004">
      <c r="A674" s="65" t="s">
        <v>3</v>
      </c>
      <c r="B674" s="65"/>
      <c r="C674" s="65"/>
      <c r="D674" s="65"/>
      <c r="E674" s="65"/>
      <c r="F674" s="65"/>
      <c r="G674" s="65"/>
      <c r="H674" s="65"/>
      <c r="I674" s="65"/>
      <c r="J674" s="65"/>
      <c r="K674" s="65"/>
    </row>
    <row r="675" spans="1:11" ht="31.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s="20" customFormat="1" ht="31.5" customHeight="1" x14ac:dyDescent="0.4">
      <c r="A676" s="19" t="s">
        <v>60</v>
      </c>
      <c r="B676" s="59" t="s">
        <v>95</v>
      </c>
      <c r="C676" s="59"/>
      <c r="D676" s="59"/>
      <c r="E676" s="59"/>
      <c r="F676" s="59"/>
      <c r="G676" s="19" t="s">
        <v>59</v>
      </c>
      <c r="H676" s="47" t="s">
        <v>96</v>
      </c>
      <c r="I676" s="19" t="s">
        <v>75</v>
      </c>
      <c r="J676" s="59" t="s">
        <v>91</v>
      </c>
      <c r="K676" s="59"/>
    </row>
    <row r="677" spans="1:11" s="20" customFormat="1" ht="31.5" customHeight="1" x14ac:dyDescent="0.4">
      <c r="A677" s="19" t="s">
        <v>61</v>
      </c>
      <c r="B677" s="59"/>
      <c r="C677" s="59"/>
      <c r="D677" s="19" t="s">
        <v>68</v>
      </c>
      <c r="E677" s="59"/>
      <c r="F677" s="59"/>
      <c r="G677" s="59"/>
      <c r="H677" s="59"/>
      <c r="I677" s="19" t="s">
        <v>69</v>
      </c>
      <c r="J677" s="59" t="s">
        <v>90</v>
      </c>
      <c r="K677" s="59"/>
    </row>
    <row r="678" spans="1:11" s="20" customFormat="1" ht="35.25" customHeight="1" x14ac:dyDescent="0.4">
      <c r="A678" s="19" t="s">
        <v>63</v>
      </c>
      <c r="B678" s="47" t="s">
        <v>64</v>
      </c>
      <c r="C678" s="47"/>
      <c r="D678" s="47"/>
      <c r="E678" s="55"/>
      <c r="F678" s="19" t="s">
        <v>62</v>
      </c>
      <c r="H678" s="47">
        <v>12</v>
      </c>
      <c r="I678" s="19" t="s">
        <v>70</v>
      </c>
      <c r="J678" s="59"/>
      <c r="K678" s="59"/>
    </row>
    <row r="679" spans="1:11" s="20" customFormat="1" ht="39" customHeight="1" x14ac:dyDescent="0.4">
      <c r="A679" s="19" t="s">
        <v>71</v>
      </c>
      <c r="B679" s="21" t="s">
        <v>86</v>
      </c>
      <c r="C679" s="21"/>
      <c r="D679" s="21"/>
      <c r="E679" s="21"/>
      <c r="F679" s="19" t="s">
        <v>73</v>
      </c>
      <c r="G679" s="19"/>
      <c r="H679" s="24" t="s">
        <v>87</v>
      </c>
      <c r="I679" s="21"/>
      <c r="J679" s="21"/>
      <c r="K679" s="21"/>
    </row>
    <row r="680" spans="1:11" s="20" customFormat="1" ht="39.75" customHeight="1" x14ac:dyDescent="0.4">
      <c r="A680" s="19" t="s">
        <v>72</v>
      </c>
      <c r="B680" s="21"/>
      <c r="C680" s="60"/>
      <c r="D680" s="60"/>
      <c r="E680" s="60"/>
      <c r="F680" s="19" t="s">
        <v>74</v>
      </c>
      <c r="G680" s="19"/>
      <c r="H680" s="61"/>
      <c r="I680" s="61"/>
      <c r="J680" s="61"/>
      <c r="K680" s="61"/>
    </row>
    <row r="681" spans="1:11" s="20" customFormat="1" ht="21" customHeight="1" x14ac:dyDescent="0.4">
      <c r="A681" s="19"/>
      <c r="B681" s="21"/>
      <c r="C681" s="51"/>
      <c r="D681" s="51"/>
      <c r="E681" s="51"/>
      <c r="F681" s="19"/>
      <c r="G681" s="19"/>
      <c r="H681" s="52"/>
      <c r="I681" s="52"/>
      <c r="J681" s="52"/>
      <c r="K681" s="52"/>
    </row>
    <row r="682" spans="1:11" s="14" customFormat="1" ht="36.75" customHeight="1" x14ac:dyDescent="0.45">
      <c r="A682" s="15"/>
      <c r="B682" s="67" t="s">
        <v>5</v>
      </c>
      <c r="C682" s="67"/>
      <c r="D682" s="67"/>
      <c r="E682" s="67"/>
      <c r="F682" s="67"/>
      <c r="G682" s="67"/>
      <c r="H682" s="67"/>
      <c r="I682" s="67"/>
      <c r="J682" s="67"/>
      <c r="K682" s="67"/>
    </row>
    <row r="683" spans="1:11" s="14" customFormat="1" ht="31.5" customHeight="1" x14ac:dyDescent="0.4">
      <c r="B683" s="68" t="s">
        <v>22</v>
      </c>
      <c r="C683" s="69"/>
      <c r="D683" s="69"/>
      <c r="E683" s="69"/>
      <c r="F683" s="49" t="s">
        <v>24</v>
      </c>
      <c r="G683" s="70" t="s">
        <v>25</v>
      </c>
      <c r="H683" s="72" t="s">
        <v>27</v>
      </c>
      <c r="I683" s="75" t="s">
        <v>66</v>
      </c>
      <c r="J683" s="76"/>
      <c r="K683" s="76" t="s">
        <v>29</v>
      </c>
    </row>
    <row r="684" spans="1:11" s="14" customFormat="1" ht="31.5" customHeight="1" x14ac:dyDescent="0.4">
      <c r="B684" s="68" t="s">
        <v>76</v>
      </c>
      <c r="C684" s="79"/>
      <c r="D684" s="26" t="s">
        <v>77</v>
      </c>
      <c r="E684" s="27" t="s">
        <v>77</v>
      </c>
      <c r="F684" s="28" t="s">
        <v>23</v>
      </c>
      <c r="G684" s="71"/>
      <c r="H684" s="73"/>
      <c r="I684" s="75"/>
      <c r="J684" s="77"/>
      <c r="K684" s="77"/>
    </row>
    <row r="685" spans="1:11" s="14" customFormat="1" ht="31.5" customHeight="1" x14ac:dyDescent="0.4">
      <c r="B685" s="80">
        <v>0.1</v>
      </c>
      <c r="C685" s="80">
        <v>0.1</v>
      </c>
      <c r="D685" s="80">
        <v>0.2</v>
      </c>
      <c r="E685" s="80">
        <v>0.2</v>
      </c>
      <c r="F685" s="90">
        <v>0.4</v>
      </c>
      <c r="G685" s="53" t="s">
        <v>26</v>
      </c>
      <c r="H685" s="74"/>
      <c r="I685" s="70"/>
      <c r="J685" s="77"/>
      <c r="K685" s="77"/>
    </row>
    <row r="686" spans="1:11" s="14" customFormat="1" ht="31.5" customHeight="1" x14ac:dyDescent="0.4">
      <c r="A686" s="23" t="s">
        <v>4</v>
      </c>
      <c r="B686" s="81"/>
      <c r="C686" s="81"/>
      <c r="D686" s="81"/>
      <c r="E686" s="81"/>
      <c r="F686" s="91"/>
      <c r="G686" s="29">
        <v>1</v>
      </c>
      <c r="H686" s="28" t="s">
        <v>28</v>
      </c>
      <c r="I686" s="43" t="s">
        <v>65</v>
      </c>
      <c r="J686" s="48" t="s">
        <v>67</v>
      </c>
      <c r="K686" s="78"/>
    </row>
    <row r="687" spans="1:11" s="3" customFormat="1" ht="41.25" customHeight="1" x14ac:dyDescent="0.4">
      <c r="A687" s="30" t="s">
        <v>6</v>
      </c>
      <c r="B687" s="33">
        <v>7</v>
      </c>
      <c r="C687" s="33">
        <v>8</v>
      </c>
      <c r="D687" s="33">
        <v>18</v>
      </c>
      <c r="E687" s="33">
        <v>11</v>
      </c>
      <c r="F687" s="33">
        <v>29</v>
      </c>
      <c r="G687" s="31">
        <f t="shared" ref="G687:G703" si="33">SUM(B687:F687)</f>
        <v>73</v>
      </c>
      <c r="H687" s="38">
        <v>60</v>
      </c>
      <c r="I687" s="32" t="s">
        <v>116</v>
      </c>
      <c r="J687" s="33" t="str">
        <f>IF(G687&gt;=70,"A",IF(G687&gt;=60,"B",IF(G687&gt;=50,"C",IF(G687&gt;=45,"D",IF(G687&gt;=40,"E",IF(G687&lt;=39,"F"))))))</f>
        <v>A</v>
      </c>
      <c r="K687" s="34" t="str">
        <f>IF(G687&gt;=70,"EXCELLENT",IF(G687&gt;=60,"V.GOOD",IF(G687&gt;=50,"GOOD",IF(G687&gt;=45,"PASS",IF(G687&gt;=40,"FAIR",IF(G687&lt;=39,"FAIL"))))))</f>
        <v>EXCELLENT</v>
      </c>
    </row>
    <row r="688" spans="1:11" s="3" customFormat="1" ht="41.25" customHeight="1" x14ac:dyDescent="0.4">
      <c r="A688" s="30" t="s">
        <v>7</v>
      </c>
      <c r="B688" s="33">
        <v>10</v>
      </c>
      <c r="C688" s="33">
        <v>8</v>
      </c>
      <c r="D688" s="33">
        <v>16</v>
      </c>
      <c r="E688" s="33">
        <v>16</v>
      </c>
      <c r="F688" s="33">
        <v>30</v>
      </c>
      <c r="G688" s="33">
        <f t="shared" si="33"/>
        <v>80</v>
      </c>
      <c r="H688" s="39">
        <v>58.9</v>
      </c>
      <c r="I688" s="25" t="s">
        <v>116</v>
      </c>
      <c r="J688" s="33" t="str">
        <f t="shared" ref="J688:J703" si="34">IF(G688&gt;=70,"A",IF(G688&gt;=60,"B",IF(G688&gt;=50,"C",IF(G688&gt;=45,"D",IF(G688&gt;=40,"E",IF(G688&lt;=39,"F"))))))</f>
        <v>A</v>
      </c>
      <c r="K688" s="34" t="str">
        <f t="shared" ref="K688:K703" si="35">IF(G688&gt;=70,"EXCELLENT",IF(G688&gt;=60,"V.GOOD",IF(G688&gt;=50,"GOOD",IF(G688&gt;=45,"PASS",IF(G688&gt;=40,"FAIR",IF(G688&lt;=39,"FAIL"))))))</f>
        <v>EXCELLENT</v>
      </c>
    </row>
    <row r="689" spans="1:11" s="3" customFormat="1" ht="41.25" customHeight="1" x14ac:dyDescent="0.4">
      <c r="A689" s="30" t="s">
        <v>8</v>
      </c>
      <c r="B689" s="33">
        <v>6</v>
      </c>
      <c r="C689" s="33">
        <v>6</v>
      </c>
      <c r="D689" s="33">
        <v>12</v>
      </c>
      <c r="E689" s="33">
        <v>10</v>
      </c>
      <c r="F689" s="33">
        <v>25</v>
      </c>
      <c r="G689" s="33">
        <f t="shared" si="33"/>
        <v>59</v>
      </c>
      <c r="H689" s="39">
        <v>51.8</v>
      </c>
      <c r="I689" s="25" t="s">
        <v>116</v>
      </c>
      <c r="J689" s="33" t="str">
        <f t="shared" si="34"/>
        <v>C</v>
      </c>
      <c r="K689" s="34" t="str">
        <f t="shared" si="35"/>
        <v>GOOD</v>
      </c>
    </row>
    <row r="690" spans="1:11" s="3" customFormat="1" ht="41.25" customHeight="1" x14ac:dyDescent="0.4">
      <c r="A690" s="30" t="s">
        <v>13</v>
      </c>
      <c r="B690" s="33">
        <v>10</v>
      </c>
      <c r="C690" s="33">
        <v>10</v>
      </c>
      <c r="D690" s="33">
        <v>13</v>
      </c>
      <c r="E690" s="33">
        <v>14</v>
      </c>
      <c r="F690" s="33">
        <v>32</v>
      </c>
      <c r="G690" s="33">
        <f t="shared" si="33"/>
        <v>79</v>
      </c>
      <c r="H690" s="39">
        <v>72.599999999999994</v>
      </c>
      <c r="I690" s="25" t="s">
        <v>116</v>
      </c>
      <c r="J690" s="33" t="str">
        <f t="shared" si="34"/>
        <v>A</v>
      </c>
      <c r="K690" s="34" t="str">
        <f t="shared" si="35"/>
        <v>EXCELLENT</v>
      </c>
    </row>
    <row r="691" spans="1:11" s="3" customFormat="1" ht="41.25" customHeight="1" x14ac:dyDescent="0.4">
      <c r="A691" s="30" t="s">
        <v>9</v>
      </c>
      <c r="B691" s="33">
        <v>5</v>
      </c>
      <c r="C691" s="33">
        <v>6</v>
      </c>
      <c r="D691" s="33">
        <v>6</v>
      </c>
      <c r="E691" s="33">
        <v>19</v>
      </c>
      <c r="F691" s="33">
        <v>36</v>
      </c>
      <c r="G691" s="33">
        <f t="shared" si="33"/>
        <v>72</v>
      </c>
      <c r="H691" s="39">
        <v>71.400000000000006</v>
      </c>
      <c r="I691" s="25" t="s">
        <v>117</v>
      </c>
      <c r="J691" s="33" t="str">
        <f t="shared" si="34"/>
        <v>A</v>
      </c>
      <c r="K691" s="34" t="str">
        <f t="shared" si="35"/>
        <v>EXCELLENT</v>
      </c>
    </row>
    <row r="692" spans="1:11" s="3" customFormat="1" ht="41.25" customHeight="1" x14ac:dyDescent="0.4">
      <c r="A692" s="30" t="s">
        <v>82</v>
      </c>
      <c r="B692" s="33">
        <v>6</v>
      </c>
      <c r="C692" s="33">
        <v>6</v>
      </c>
      <c r="D692" s="33">
        <v>9</v>
      </c>
      <c r="E692" s="33">
        <v>6</v>
      </c>
      <c r="F692" s="33">
        <v>25</v>
      </c>
      <c r="G692" s="33">
        <f t="shared" si="33"/>
        <v>52</v>
      </c>
      <c r="H692" s="39">
        <v>54.7</v>
      </c>
      <c r="I692" s="25" t="s">
        <v>117</v>
      </c>
      <c r="J692" s="33" t="str">
        <f t="shared" si="34"/>
        <v>C</v>
      </c>
      <c r="K692" s="34" t="str">
        <f t="shared" si="35"/>
        <v>GOOD</v>
      </c>
    </row>
    <row r="693" spans="1:11" s="3" customFormat="1" ht="41.25" customHeight="1" x14ac:dyDescent="0.4">
      <c r="A693" s="30" t="s">
        <v>21</v>
      </c>
      <c r="B693" s="33">
        <v>10</v>
      </c>
      <c r="C693" s="33">
        <v>9</v>
      </c>
      <c r="D693" s="33">
        <v>14</v>
      </c>
      <c r="E693" s="33">
        <v>15</v>
      </c>
      <c r="F693" s="33">
        <v>31</v>
      </c>
      <c r="G693" s="33">
        <f t="shared" si="33"/>
        <v>79</v>
      </c>
      <c r="H693" s="39">
        <v>65.2</v>
      </c>
      <c r="I693" s="25" t="s">
        <v>112</v>
      </c>
      <c r="J693" s="33" t="str">
        <f t="shared" si="34"/>
        <v>A</v>
      </c>
      <c r="K693" s="34" t="str">
        <f t="shared" si="35"/>
        <v>EXCELLENT</v>
      </c>
    </row>
    <row r="694" spans="1:11" s="3" customFormat="1" ht="41.25" customHeight="1" x14ac:dyDescent="0.4">
      <c r="A694" s="30" t="s">
        <v>10</v>
      </c>
      <c r="B694" s="33">
        <v>5</v>
      </c>
      <c r="C694" s="33">
        <v>8</v>
      </c>
      <c r="D694" s="33">
        <v>17</v>
      </c>
      <c r="E694" s="33">
        <v>20</v>
      </c>
      <c r="F694" s="33">
        <v>40</v>
      </c>
      <c r="G694" s="33">
        <f t="shared" si="33"/>
        <v>90</v>
      </c>
      <c r="H694" s="39">
        <v>71.25</v>
      </c>
      <c r="I694" s="25" t="s">
        <v>116</v>
      </c>
      <c r="J694" s="33" t="str">
        <f t="shared" si="34"/>
        <v>A</v>
      </c>
      <c r="K694" s="34" t="str">
        <f t="shared" si="35"/>
        <v>EXCELLENT</v>
      </c>
    </row>
    <row r="695" spans="1:11" s="3" customFormat="1" ht="41.25" customHeight="1" x14ac:dyDescent="0.4">
      <c r="A695" s="30" t="s">
        <v>12</v>
      </c>
      <c r="B695" s="33">
        <v>9</v>
      </c>
      <c r="C695" s="33">
        <v>9</v>
      </c>
      <c r="D695" s="33">
        <v>10</v>
      </c>
      <c r="E695" s="33">
        <v>15</v>
      </c>
      <c r="F695" s="33">
        <v>32</v>
      </c>
      <c r="G695" s="33">
        <f t="shared" si="33"/>
        <v>75</v>
      </c>
      <c r="H695" s="39">
        <v>79.5</v>
      </c>
      <c r="I695" s="25" t="s">
        <v>120</v>
      </c>
      <c r="J695" s="33" t="str">
        <f t="shared" si="34"/>
        <v>A</v>
      </c>
      <c r="K695" s="34" t="str">
        <f t="shared" si="35"/>
        <v>EXCELLENT</v>
      </c>
    </row>
    <row r="696" spans="1:11" s="3" customFormat="1" ht="41.25" customHeight="1" x14ac:dyDescent="0.4">
      <c r="A696" s="30" t="s">
        <v>11</v>
      </c>
      <c r="B696" s="33">
        <v>7</v>
      </c>
      <c r="C696" s="33">
        <v>8</v>
      </c>
      <c r="D696" s="33">
        <v>15</v>
      </c>
      <c r="E696" s="33">
        <v>15</v>
      </c>
      <c r="F696" s="33">
        <v>32</v>
      </c>
      <c r="G696" s="33">
        <f t="shared" si="33"/>
        <v>77</v>
      </c>
      <c r="H696" s="39">
        <v>66.08</v>
      </c>
      <c r="I696" s="25" t="s">
        <v>112</v>
      </c>
      <c r="J696" s="33" t="str">
        <f t="shared" si="34"/>
        <v>A</v>
      </c>
      <c r="K696" s="34" t="str">
        <f t="shared" si="35"/>
        <v>EXCELLENT</v>
      </c>
    </row>
    <row r="697" spans="1:11" s="3" customFormat="1" ht="41.25" customHeight="1" x14ac:dyDescent="0.4">
      <c r="A697" s="30" t="s">
        <v>14</v>
      </c>
      <c r="B697" s="33">
        <v>5</v>
      </c>
      <c r="C697" s="33">
        <v>6</v>
      </c>
      <c r="D697" s="33">
        <v>19</v>
      </c>
      <c r="E697" s="33">
        <v>10</v>
      </c>
      <c r="F697" s="33">
        <v>34</v>
      </c>
      <c r="G697" s="33">
        <f t="shared" si="33"/>
        <v>74</v>
      </c>
      <c r="H697" s="39">
        <v>69.5</v>
      </c>
      <c r="I697" s="25" t="s">
        <v>115</v>
      </c>
      <c r="J697" s="33" t="str">
        <f t="shared" si="34"/>
        <v>A</v>
      </c>
      <c r="K697" s="34" t="str">
        <f t="shared" si="35"/>
        <v>EXCELLENT</v>
      </c>
    </row>
    <row r="698" spans="1:11" s="3" customFormat="1" ht="41.25" customHeight="1" x14ac:dyDescent="0.4">
      <c r="A698" s="30" t="s">
        <v>15</v>
      </c>
      <c r="B698" s="33">
        <v>10</v>
      </c>
      <c r="C698" s="33">
        <v>10</v>
      </c>
      <c r="D698" s="33">
        <v>11</v>
      </c>
      <c r="E698" s="33">
        <v>15</v>
      </c>
      <c r="F698" s="33">
        <v>31</v>
      </c>
      <c r="G698" s="33">
        <f t="shared" si="33"/>
        <v>77</v>
      </c>
      <c r="H698" s="39">
        <v>61.75</v>
      </c>
      <c r="I698" s="25" t="s">
        <v>116</v>
      </c>
      <c r="J698" s="33" t="str">
        <f t="shared" si="34"/>
        <v>A</v>
      </c>
      <c r="K698" s="34" t="str">
        <f t="shared" si="35"/>
        <v>EXCELLENT</v>
      </c>
    </row>
    <row r="699" spans="1:11" s="3" customFormat="1" ht="41.25" customHeight="1" x14ac:dyDescent="0.4">
      <c r="A699" s="30" t="s">
        <v>16</v>
      </c>
      <c r="B699" s="33">
        <v>6</v>
      </c>
      <c r="C699" s="33">
        <v>7</v>
      </c>
      <c r="D699" s="33">
        <v>16</v>
      </c>
      <c r="E699" s="33">
        <v>14</v>
      </c>
      <c r="F699" s="33">
        <v>31</v>
      </c>
      <c r="G699" s="33">
        <f t="shared" si="33"/>
        <v>74</v>
      </c>
      <c r="H699" s="39">
        <v>61.17</v>
      </c>
      <c r="I699" s="25" t="s">
        <v>116</v>
      </c>
      <c r="J699" s="33" t="str">
        <f t="shared" si="34"/>
        <v>A</v>
      </c>
      <c r="K699" s="34" t="str">
        <f t="shared" si="35"/>
        <v>EXCELLENT</v>
      </c>
    </row>
    <row r="700" spans="1:11" s="3" customFormat="1" ht="41.25" customHeight="1" x14ac:dyDescent="0.4">
      <c r="A700" s="30" t="s">
        <v>17</v>
      </c>
      <c r="B700" s="33">
        <v>9</v>
      </c>
      <c r="C700" s="33">
        <v>8</v>
      </c>
      <c r="D700" s="33">
        <v>17</v>
      </c>
      <c r="E700" s="33">
        <v>17</v>
      </c>
      <c r="F700" s="33">
        <v>30</v>
      </c>
      <c r="G700" s="33">
        <f t="shared" si="33"/>
        <v>81</v>
      </c>
      <c r="H700" s="39">
        <v>62.6</v>
      </c>
      <c r="I700" s="25" t="s">
        <v>116</v>
      </c>
      <c r="J700" s="33" t="str">
        <f t="shared" si="34"/>
        <v>A</v>
      </c>
      <c r="K700" s="34" t="str">
        <f t="shared" si="35"/>
        <v>EXCELLENT</v>
      </c>
    </row>
    <row r="701" spans="1:11" s="3" customFormat="1" ht="41.25" customHeight="1" x14ac:dyDescent="0.4">
      <c r="A701" s="30" t="s">
        <v>18</v>
      </c>
      <c r="B701" s="33">
        <v>9</v>
      </c>
      <c r="C701" s="33">
        <v>9</v>
      </c>
      <c r="D701" s="33">
        <v>7</v>
      </c>
      <c r="E701" s="33">
        <v>18</v>
      </c>
      <c r="F701" s="33">
        <v>32</v>
      </c>
      <c r="G701" s="33">
        <f t="shared" si="33"/>
        <v>75</v>
      </c>
      <c r="H701" s="39">
        <v>70</v>
      </c>
      <c r="I701" s="25" t="s">
        <v>115</v>
      </c>
      <c r="J701" s="33" t="str">
        <f t="shared" si="34"/>
        <v>A</v>
      </c>
      <c r="K701" s="34" t="str">
        <f t="shared" si="35"/>
        <v>EXCELLENT</v>
      </c>
    </row>
    <row r="702" spans="1:11" s="3" customFormat="1" ht="41.25" customHeight="1" x14ac:dyDescent="0.4">
      <c r="A702" s="30" t="s">
        <v>19</v>
      </c>
      <c r="B702" s="33">
        <v>9</v>
      </c>
      <c r="C702" s="33">
        <v>10</v>
      </c>
      <c r="D702" s="33">
        <v>17</v>
      </c>
      <c r="E702" s="33">
        <v>20</v>
      </c>
      <c r="F702" s="33">
        <v>30</v>
      </c>
      <c r="G702" s="33">
        <f t="shared" si="33"/>
        <v>86</v>
      </c>
      <c r="H702" s="39">
        <v>69.25</v>
      </c>
      <c r="I702" s="25" t="s">
        <v>112</v>
      </c>
      <c r="J702" s="33" t="str">
        <f t="shared" si="34"/>
        <v>A</v>
      </c>
      <c r="K702" s="34" t="str">
        <f t="shared" si="35"/>
        <v>EXCELLENT</v>
      </c>
    </row>
    <row r="703" spans="1:11" s="3" customFormat="1" ht="41.25" customHeight="1" x14ac:dyDescent="0.4">
      <c r="A703" s="30" t="s">
        <v>20</v>
      </c>
      <c r="B703" s="33">
        <v>10</v>
      </c>
      <c r="C703" s="33">
        <v>5</v>
      </c>
      <c r="D703" s="33">
        <v>14</v>
      </c>
      <c r="E703" s="33">
        <v>15</v>
      </c>
      <c r="F703" s="33">
        <v>25</v>
      </c>
      <c r="G703" s="33">
        <f t="shared" si="33"/>
        <v>69</v>
      </c>
      <c r="H703" s="39">
        <v>67</v>
      </c>
      <c r="I703" s="25" t="s">
        <v>115</v>
      </c>
      <c r="J703" s="33" t="str">
        <f t="shared" si="34"/>
        <v>B</v>
      </c>
      <c r="K703" s="34" t="str">
        <f t="shared" si="35"/>
        <v>V.GOOD</v>
      </c>
    </row>
    <row r="704" spans="1:11" s="3" customFormat="1" ht="41.25" customHeight="1" x14ac:dyDescent="0.4">
      <c r="A704" s="4"/>
      <c r="B704" s="33"/>
      <c r="C704" s="33"/>
      <c r="D704" s="33"/>
      <c r="E704" s="33"/>
      <c r="F704" s="33"/>
      <c r="G704" s="25"/>
      <c r="H704" s="25"/>
      <c r="I704" s="25"/>
      <c r="J704" s="25"/>
      <c r="K704" s="35"/>
    </row>
    <row r="705" spans="1:11" s="3" customFormat="1" ht="41.25" customHeight="1" x14ac:dyDescent="0.4">
      <c r="A705" s="4"/>
      <c r="B705" s="33"/>
      <c r="C705" s="33"/>
      <c r="D705" s="33"/>
      <c r="E705" s="33"/>
      <c r="F705" s="33"/>
      <c r="G705" s="25"/>
      <c r="H705" s="25"/>
      <c r="I705" s="25"/>
      <c r="J705" s="25"/>
      <c r="K705" s="35"/>
    </row>
    <row r="706" spans="1:11" s="3" customFormat="1" ht="31.5" customHeight="1" x14ac:dyDescent="0.35">
      <c r="A706" s="5"/>
    </row>
    <row r="707" spans="1:11" s="3" customFormat="1" ht="31.5" customHeight="1" x14ac:dyDescent="0.45">
      <c r="A707" s="56" t="s">
        <v>58</v>
      </c>
      <c r="B707" s="36">
        <f>SUM(G687:G703)</f>
        <v>1272</v>
      </c>
      <c r="C707" s="22"/>
      <c r="D707" s="22"/>
      <c r="E707" s="37"/>
      <c r="F707" s="83" t="s">
        <v>49</v>
      </c>
      <c r="G707" s="83"/>
      <c r="H707" s="93">
        <f>B707</f>
        <v>1272</v>
      </c>
      <c r="I707" s="93"/>
      <c r="J707" s="92" t="s">
        <v>50</v>
      </c>
      <c r="K707" s="82">
        <f>H707/17</f>
        <v>74.82352941176471</v>
      </c>
    </row>
    <row r="708" spans="1:11" s="3" customFormat="1" ht="31.5" customHeight="1" x14ac:dyDescent="0.45">
      <c r="A708" s="37"/>
      <c r="B708" s="22"/>
      <c r="C708" s="22"/>
      <c r="D708" s="22"/>
      <c r="E708" s="37"/>
      <c r="F708" s="37"/>
      <c r="G708" s="37"/>
      <c r="H708" s="83">
        <v>17</v>
      </c>
      <c r="I708" s="83"/>
      <c r="J708" s="92"/>
      <c r="K708" s="82"/>
    </row>
    <row r="709" spans="1:11" s="3" customFormat="1" ht="31.5" customHeight="1" x14ac:dyDescent="0.35">
      <c r="A709" s="5"/>
      <c r="E709" s="5"/>
      <c r="F709" s="5"/>
      <c r="G709" s="5"/>
      <c r="H709" s="8"/>
      <c r="I709" s="8"/>
      <c r="J709" s="12"/>
      <c r="K709" s="13"/>
    </row>
    <row r="710" spans="1:11" s="3" customFormat="1" ht="33.75" customHeight="1" x14ac:dyDescent="0.35">
      <c r="A710" s="5"/>
      <c r="D710" s="84" t="s">
        <v>30</v>
      </c>
      <c r="E710" s="84"/>
      <c r="F710" s="84"/>
      <c r="G710" s="84"/>
      <c r="H710" s="84"/>
    </row>
    <row r="711" spans="1:11" s="3" customFormat="1" ht="33.75" customHeight="1" x14ac:dyDescent="0.35">
      <c r="A711" s="85" t="s">
        <v>31</v>
      </c>
      <c r="B711" s="86"/>
      <c r="C711" s="87"/>
      <c r="D711" s="41" t="s">
        <v>44</v>
      </c>
      <c r="E711" s="41" t="s">
        <v>45</v>
      </c>
      <c r="F711" s="41" t="s">
        <v>46</v>
      </c>
      <c r="G711" s="41" t="s">
        <v>47</v>
      </c>
      <c r="H711" s="41" t="s">
        <v>48</v>
      </c>
      <c r="I711" s="9"/>
      <c r="J711" s="11" t="s">
        <v>51</v>
      </c>
      <c r="K711" s="5"/>
    </row>
    <row r="712" spans="1:11" s="3" customFormat="1" ht="33.75" customHeight="1" x14ac:dyDescent="0.35">
      <c r="A712" s="88" t="s">
        <v>32</v>
      </c>
      <c r="B712" s="88"/>
      <c r="C712" s="88"/>
      <c r="D712" s="45" t="s">
        <v>124</v>
      </c>
      <c r="E712" s="7"/>
      <c r="F712" s="7"/>
      <c r="G712" s="7"/>
      <c r="H712" s="7"/>
      <c r="I712" s="9"/>
      <c r="J712" s="5" t="s">
        <v>52</v>
      </c>
      <c r="K712" s="5"/>
    </row>
    <row r="713" spans="1:11" s="3" customFormat="1" ht="33.75" customHeight="1" x14ac:dyDescent="0.35">
      <c r="A713" s="88" t="s">
        <v>33</v>
      </c>
      <c r="B713" s="88"/>
      <c r="C713" s="88"/>
      <c r="D713" s="45" t="s">
        <v>124</v>
      </c>
      <c r="E713" s="7"/>
      <c r="F713" s="7"/>
      <c r="G713" s="7"/>
      <c r="H713" s="7"/>
      <c r="I713" s="9"/>
      <c r="J713" s="5" t="s">
        <v>53</v>
      </c>
      <c r="K713" s="5"/>
    </row>
    <row r="714" spans="1:11" s="3" customFormat="1" ht="33.75" customHeight="1" x14ac:dyDescent="0.35">
      <c r="A714" s="88" t="s">
        <v>34</v>
      </c>
      <c r="B714" s="88"/>
      <c r="C714" s="88"/>
      <c r="D714" s="7"/>
      <c r="E714" s="45" t="s">
        <v>124</v>
      </c>
      <c r="F714" s="7"/>
      <c r="G714" s="7"/>
      <c r="H714" s="7"/>
      <c r="I714" s="9"/>
      <c r="J714" s="5" t="s">
        <v>54</v>
      </c>
      <c r="K714" s="5"/>
    </row>
    <row r="715" spans="1:11" s="3" customFormat="1" ht="33.75" customHeight="1" x14ac:dyDescent="0.35">
      <c r="A715" s="88" t="s">
        <v>35</v>
      </c>
      <c r="B715" s="88"/>
      <c r="C715" s="88"/>
      <c r="D715" s="7"/>
      <c r="E715" s="45" t="s">
        <v>124</v>
      </c>
      <c r="F715" s="7"/>
      <c r="G715" s="7"/>
      <c r="H715" s="7"/>
      <c r="I715" s="9"/>
      <c r="J715" s="5" t="s">
        <v>55</v>
      </c>
      <c r="K715" s="5"/>
    </row>
    <row r="716" spans="1:11" s="3" customFormat="1" ht="33.75" customHeight="1" x14ac:dyDescent="0.35">
      <c r="A716" s="88" t="s">
        <v>36</v>
      </c>
      <c r="B716" s="88"/>
      <c r="C716" s="88"/>
      <c r="D716" s="7"/>
      <c r="E716" s="45" t="s">
        <v>124</v>
      </c>
      <c r="F716" s="7"/>
      <c r="G716" s="7"/>
      <c r="H716" s="7"/>
      <c r="I716" s="9"/>
      <c r="J716" s="5" t="s">
        <v>56</v>
      </c>
      <c r="K716" s="5"/>
    </row>
    <row r="717" spans="1:11" s="3" customFormat="1" ht="33.75" customHeight="1" x14ac:dyDescent="0.35">
      <c r="A717" s="88" t="s">
        <v>37</v>
      </c>
      <c r="B717" s="88"/>
      <c r="C717" s="88"/>
      <c r="D717" s="7"/>
      <c r="E717" s="7"/>
      <c r="F717" s="7"/>
      <c r="G717" s="45" t="s">
        <v>124</v>
      </c>
      <c r="H717" s="7"/>
      <c r="I717" s="9"/>
      <c r="J717" s="5" t="s">
        <v>57</v>
      </c>
      <c r="K717" s="5"/>
    </row>
    <row r="718" spans="1:11" s="3" customFormat="1" ht="33.75" customHeight="1" x14ac:dyDescent="0.35">
      <c r="A718" s="88" t="s">
        <v>38</v>
      </c>
      <c r="B718" s="88"/>
      <c r="C718" s="88"/>
      <c r="D718" s="7"/>
      <c r="E718" s="45" t="s">
        <v>124</v>
      </c>
      <c r="F718" s="7"/>
      <c r="G718" s="7"/>
      <c r="H718" s="7"/>
      <c r="I718" s="9"/>
    </row>
    <row r="719" spans="1:11" s="3" customFormat="1" ht="33.75" customHeight="1" x14ac:dyDescent="0.35">
      <c r="A719" s="88" t="s">
        <v>39</v>
      </c>
      <c r="B719" s="88"/>
      <c r="C719" s="88"/>
      <c r="D719" s="45" t="s">
        <v>124</v>
      </c>
      <c r="E719" s="7"/>
      <c r="F719" s="7"/>
      <c r="G719" s="7"/>
      <c r="H719" s="7"/>
      <c r="I719" s="9"/>
    </row>
    <row r="720" spans="1:11" s="3" customFormat="1" ht="33.75" customHeight="1" x14ac:dyDescent="0.35">
      <c r="A720" s="88" t="s">
        <v>40</v>
      </c>
      <c r="B720" s="88"/>
      <c r="C720" s="88"/>
      <c r="D720" s="45" t="s">
        <v>124</v>
      </c>
      <c r="E720" s="7"/>
      <c r="F720" s="7"/>
      <c r="G720" s="7"/>
      <c r="H720" s="7"/>
      <c r="I720" s="9"/>
    </row>
    <row r="721" spans="1:11" s="3" customFormat="1" ht="33.75" customHeight="1" x14ac:dyDescent="0.35">
      <c r="A721" s="88" t="s">
        <v>41</v>
      </c>
      <c r="B721" s="88"/>
      <c r="C721" s="88"/>
      <c r="D721" s="45" t="s">
        <v>124</v>
      </c>
      <c r="E721" s="7"/>
      <c r="F721" s="7"/>
      <c r="G721" s="7"/>
      <c r="H721" s="7"/>
      <c r="I721" s="9"/>
    </row>
    <row r="722" spans="1:11" s="3" customFormat="1" ht="33.75" customHeight="1" x14ac:dyDescent="0.35">
      <c r="A722" s="88" t="s">
        <v>42</v>
      </c>
      <c r="B722" s="88"/>
      <c r="C722" s="88"/>
      <c r="D722" s="7"/>
      <c r="E722" s="45" t="s">
        <v>124</v>
      </c>
      <c r="F722" s="7"/>
      <c r="G722" s="7"/>
      <c r="H722" s="7"/>
      <c r="I722" s="9"/>
    </row>
    <row r="723" spans="1:11" s="3" customFormat="1" ht="33.75" customHeight="1" x14ac:dyDescent="0.35">
      <c r="A723" s="88" t="s">
        <v>43</v>
      </c>
      <c r="B723" s="88"/>
      <c r="C723" s="88"/>
      <c r="D723" s="7"/>
      <c r="E723" s="45" t="s">
        <v>124</v>
      </c>
      <c r="F723" s="7"/>
      <c r="G723" s="7"/>
      <c r="H723" s="7"/>
      <c r="I723" s="9"/>
    </row>
    <row r="724" spans="1:11" ht="52.5" customHeight="1" x14ac:dyDescent="0.25"/>
    <row r="725" spans="1:11" s="15" customFormat="1" ht="31.5" customHeight="1" x14ac:dyDescent="0.4">
      <c r="A725" s="17" t="s">
        <v>78</v>
      </c>
      <c r="B725" s="17"/>
      <c r="C725" s="98" t="s">
        <v>79</v>
      </c>
      <c r="D725" s="98"/>
      <c r="E725" s="98"/>
      <c r="F725" s="98"/>
      <c r="G725" s="98"/>
      <c r="H725" s="98"/>
      <c r="I725" s="98"/>
      <c r="J725" s="98"/>
      <c r="K725" s="16"/>
    </row>
    <row r="726" spans="1:11" s="15" customFormat="1" ht="42.75" customHeight="1" x14ac:dyDescent="0.4">
      <c r="A726" s="17" t="s">
        <v>80</v>
      </c>
      <c r="B726" s="17"/>
      <c r="C726" s="95" t="s">
        <v>107</v>
      </c>
      <c r="D726" s="95"/>
      <c r="E726" s="95"/>
      <c r="F726" s="95"/>
      <c r="G726" s="95"/>
      <c r="H726" s="95"/>
      <c r="I726" s="16"/>
      <c r="J726" s="16"/>
      <c r="K726" s="16"/>
    </row>
    <row r="727" spans="1:11" s="15" customFormat="1" ht="31.5" customHeight="1" x14ac:dyDescent="0.4">
      <c r="A727" s="17"/>
      <c r="B727" s="17"/>
      <c r="C727" s="18"/>
      <c r="D727" s="18"/>
      <c r="E727" s="18"/>
      <c r="F727" s="18"/>
      <c r="G727" s="18"/>
      <c r="H727" s="18"/>
      <c r="I727" s="16"/>
      <c r="J727" s="16"/>
      <c r="K727" s="16"/>
    </row>
    <row r="728" spans="1:11" s="15" customFormat="1" ht="31.5" customHeight="1" x14ac:dyDescent="0.4">
      <c r="A728" s="17" t="s">
        <v>81</v>
      </c>
      <c r="B728" s="17"/>
      <c r="C728" s="98" t="s">
        <v>79</v>
      </c>
      <c r="D728" s="98"/>
      <c r="E728" s="98"/>
      <c r="F728" s="98"/>
      <c r="G728" s="98"/>
      <c r="H728" s="98"/>
      <c r="I728" s="98"/>
      <c r="J728" s="98"/>
      <c r="K728" s="16"/>
    </row>
    <row r="729" spans="1:11" s="15" customFormat="1" ht="46.5" customHeight="1" x14ac:dyDescent="0.4">
      <c r="A729" s="17" t="s">
        <v>80</v>
      </c>
      <c r="B729" s="17"/>
      <c r="C729" s="95" t="s">
        <v>107</v>
      </c>
      <c r="D729" s="95"/>
      <c r="E729" s="95"/>
      <c r="F729" s="95"/>
      <c r="G729" s="95"/>
      <c r="H729" s="95"/>
      <c r="I729" s="16"/>
      <c r="J729" s="16"/>
      <c r="K729" s="16"/>
    </row>
    <row r="731" spans="1:11" ht="66" customHeight="1" x14ac:dyDescent="0.25">
      <c r="A731" s="62" t="s">
        <v>0</v>
      </c>
      <c r="B731" s="62"/>
      <c r="C731" s="62"/>
      <c r="D731" s="62"/>
      <c r="E731" s="62"/>
      <c r="F731" s="62"/>
      <c r="G731" s="62"/>
      <c r="H731" s="62"/>
      <c r="I731" s="62"/>
      <c r="J731" s="62"/>
      <c r="K731" s="62"/>
    </row>
    <row r="732" spans="1:11" ht="27.75" customHeight="1" x14ac:dyDescent="0.3">
      <c r="A732" s="63" t="s">
        <v>1</v>
      </c>
      <c r="B732" s="63"/>
      <c r="C732" s="63"/>
      <c r="D732" s="63"/>
      <c r="E732" s="63"/>
      <c r="F732" s="63"/>
      <c r="G732" s="63"/>
      <c r="H732" s="63"/>
      <c r="I732" s="63"/>
      <c r="J732" s="63"/>
      <c r="K732" s="63"/>
    </row>
    <row r="733" spans="1:11" ht="46.5" customHeight="1" x14ac:dyDescent="0.25">
      <c r="A733" s="64" t="s">
        <v>2</v>
      </c>
      <c r="B733" s="64"/>
      <c r="C733" s="64"/>
      <c r="D733" s="64"/>
      <c r="E733" s="64"/>
      <c r="F733" s="64"/>
      <c r="G733" s="64"/>
      <c r="H733" s="64"/>
      <c r="I733" s="64"/>
      <c r="J733" s="64"/>
      <c r="K733" s="64"/>
    </row>
    <row r="734" spans="1:11" ht="39" customHeight="1" x14ac:dyDescent="0.55000000000000004">
      <c r="A734" s="65" t="s">
        <v>3</v>
      </c>
      <c r="B734" s="65"/>
      <c r="C734" s="65"/>
      <c r="D734" s="65"/>
      <c r="E734" s="65"/>
      <c r="F734" s="65"/>
      <c r="G734" s="65"/>
      <c r="H734" s="65"/>
      <c r="I734" s="65"/>
      <c r="J734" s="65"/>
      <c r="K734" s="65"/>
    </row>
    <row r="735" spans="1:11" ht="31.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s="20" customFormat="1" ht="31.5" customHeight="1" x14ac:dyDescent="0.4">
      <c r="A736" s="19" t="s">
        <v>60</v>
      </c>
      <c r="B736" s="59" t="s">
        <v>97</v>
      </c>
      <c r="C736" s="59"/>
      <c r="D736" s="59"/>
      <c r="E736" s="59"/>
      <c r="F736" s="59"/>
      <c r="G736" s="19" t="s">
        <v>59</v>
      </c>
      <c r="H736" s="47" t="s">
        <v>98</v>
      </c>
      <c r="I736" s="19" t="s">
        <v>75</v>
      </c>
      <c r="J736" s="59" t="s">
        <v>91</v>
      </c>
      <c r="K736" s="59"/>
    </row>
    <row r="737" spans="1:11" s="20" customFormat="1" ht="31.5" customHeight="1" x14ac:dyDescent="0.4">
      <c r="A737" s="19" t="s">
        <v>61</v>
      </c>
      <c r="B737" s="59"/>
      <c r="C737" s="59"/>
      <c r="D737" s="19" t="s">
        <v>68</v>
      </c>
      <c r="E737" s="59"/>
      <c r="F737" s="59"/>
      <c r="G737" s="59"/>
      <c r="H737" s="59"/>
      <c r="I737" s="19" t="s">
        <v>69</v>
      </c>
      <c r="J737" s="59" t="s">
        <v>90</v>
      </c>
      <c r="K737" s="59"/>
    </row>
    <row r="738" spans="1:11" s="20" customFormat="1" ht="35.25" customHeight="1" x14ac:dyDescent="0.4">
      <c r="A738" s="19" t="s">
        <v>63</v>
      </c>
      <c r="B738" s="47" t="s">
        <v>64</v>
      </c>
      <c r="C738" s="47"/>
      <c r="D738" s="47"/>
      <c r="E738" s="55"/>
      <c r="F738" s="19" t="s">
        <v>62</v>
      </c>
      <c r="H738" s="47">
        <v>12</v>
      </c>
      <c r="I738" s="19" t="s">
        <v>70</v>
      </c>
      <c r="J738" s="59"/>
      <c r="K738" s="59"/>
    </row>
    <row r="739" spans="1:11" s="20" customFormat="1" ht="39" customHeight="1" x14ac:dyDescent="0.4">
      <c r="A739" s="19" t="s">
        <v>71</v>
      </c>
      <c r="B739" s="21" t="s">
        <v>86</v>
      </c>
      <c r="C739" s="21"/>
      <c r="D739" s="21"/>
      <c r="E739" s="21"/>
      <c r="F739" s="19" t="s">
        <v>73</v>
      </c>
      <c r="G739" s="19"/>
      <c r="H739" s="24" t="s">
        <v>87</v>
      </c>
      <c r="I739" s="21"/>
      <c r="J739" s="21"/>
      <c r="K739" s="21"/>
    </row>
    <row r="740" spans="1:11" s="20" customFormat="1" ht="39.75" customHeight="1" x14ac:dyDescent="0.4">
      <c r="A740" s="19" t="s">
        <v>72</v>
      </c>
      <c r="B740" s="21"/>
      <c r="C740" s="60"/>
      <c r="D740" s="60"/>
      <c r="E740" s="60"/>
      <c r="F740" s="19" t="s">
        <v>74</v>
      </c>
      <c r="G740" s="19"/>
      <c r="H740" s="61"/>
      <c r="I740" s="61"/>
      <c r="J740" s="61"/>
      <c r="K740" s="61"/>
    </row>
    <row r="741" spans="1:11" s="20" customFormat="1" ht="21" customHeight="1" x14ac:dyDescent="0.4">
      <c r="A741" s="19"/>
      <c r="B741" s="21"/>
      <c r="C741" s="51"/>
      <c r="D741" s="51"/>
      <c r="E741" s="51"/>
      <c r="F741" s="19"/>
      <c r="G741" s="19"/>
      <c r="H741" s="52"/>
      <c r="I741" s="52"/>
      <c r="J741" s="52"/>
      <c r="K741" s="52"/>
    </row>
    <row r="742" spans="1:11" s="14" customFormat="1" ht="36.75" customHeight="1" x14ac:dyDescent="0.45">
      <c r="A742" s="15"/>
      <c r="B742" s="67" t="s">
        <v>5</v>
      </c>
      <c r="C742" s="67"/>
      <c r="D742" s="67"/>
      <c r="E742" s="67"/>
      <c r="F742" s="67"/>
      <c r="G742" s="67"/>
      <c r="H742" s="67"/>
      <c r="I742" s="67"/>
      <c r="J742" s="67"/>
      <c r="K742" s="67"/>
    </row>
    <row r="743" spans="1:11" s="14" customFormat="1" ht="31.5" customHeight="1" x14ac:dyDescent="0.4">
      <c r="B743" s="68" t="s">
        <v>22</v>
      </c>
      <c r="C743" s="69"/>
      <c r="D743" s="69"/>
      <c r="E743" s="69"/>
      <c r="F743" s="49" t="s">
        <v>24</v>
      </c>
      <c r="G743" s="70" t="s">
        <v>25</v>
      </c>
      <c r="H743" s="72" t="s">
        <v>27</v>
      </c>
      <c r="I743" s="75" t="s">
        <v>66</v>
      </c>
      <c r="J743" s="76"/>
      <c r="K743" s="76" t="s">
        <v>29</v>
      </c>
    </row>
    <row r="744" spans="1:11" s="14" customFormat="1" ht="31.5" customHeight="1" x14ac:dyDescent="0.4">
      <c r="B744" s="68" t="s">
        <v>76</v>
      </c>
      <c r="C744" s="79"/>
      <c r="D744" s="26" t="s">
        <v>77</v>
      </c>
      <c r="E744" s="27" t="s">
        <v>77</v>
      </c>
      <c r="F744" s="28" t="s">
        <v>23</v>
      </c>
      <c r="G744" s="71"/>
      <c r="H744" s="73"/>
      <c r="I744" s="75"/>
      <c r="J744" s="77"/>
      <c r="K744" s="77"/>
    </row>
    <row r="745" spans="1:11" s="14" customFormat="1" ht="31.5" customHeight="1" x14ac:dyDescent="0.4">
      <c r="B745" s="80">
        <v>0.1</v>
      </c>
      <c r="C745" s="80">
        <v>0.1</v>
      </c>
      <c r="D745" s="80">
        <v>0.2</v>
      </c>
      <c r="E745" s="80">
        <v>0.2</v>
      </c>
      <c r="F745" s="90">
        <v>0.4</v>
      </c>
      <c r="G745" s="53" t="s">
        <v>26</v>
      </c>
      <c r="H745" s="74"/>
      <c r="I745" s="70"/>
      <c r="J745" s="77"/>
      <c r="K745" s="77"/>
    </row>
    <row r="746" spans="1:11" s="14" customFormat="1" ht="31.5" customHeight="1" x14ac:dyDescent="0.4">
      <c r="A746" s="23" t="s">
        <v>4</v>
      </c>
      <c r="B746" s="81"/>
      <c r="C746" s="81"/>
      <c r="D746" s="81"/>
      <c r="E746" s="81"/>
      <c r="F746" s="91"/>
      <c r="G746" s="29">
        <v>1</v>
      </c>
      <c r="H746" s="28" t="s">
        <v>28</v>
      </c>
      <c r="I746" s="43" t="s">
        <v>65</v>
      </c>
      <c r="J746" s="48" t="s">
        <v>67</v>
      </c>
      <c r="K746" s="78"/>
    </row>
    <row r="747" spans="1:11" s="3" customFormat="1" ht="41.25" customHeight="1" x14ac:dyDescent="0.4">
      <c r="A747" s="30" t="s">
        <v>6</v>
      </c>
      <c r="B747" s="33">
        <v>10</v>
      </c>
      <c r="C747" s="33">
        <v>8</v>
      </c>
      <c r="D747" s="33">
        <v>16</v>
      </c>
      <c r="E747" s="33">
        <v>19</v>
      </c>
      <c r="F747" s="33">
        <v>33</v>
      </c>
      <c r="G747" s="31">
        <f t="shared" ref="G747:G763" si="36">SUM(B747:F747)</f>
        <v>86</v>
      </c>
      <c r="H747" s="38">
        <v>60</v>
      </c>
      <c r="I747" s="31" t="s">
        <v>111</v>
      </c>
      <c r="J747" s="33" t="str">
        <f>IF(G747&gt;=70,"A",IF(G747&gt;=60,"B",IF(G747&gt;=50,"C",IF(G747&gt;=45,"D",IF(G747&gt;=40,"E",IF(G747&lt;=39,"F"))))))</f>
        <v>A</v>
      </c>
      <c r="K747" s="34" t="str">
        <f>IF(G747&gt;=70,"EXCELLENT",IF(G747&gt;=60,"V.GOOD",IF(G747&gt;=50,"GOOD",IF(G747&gt;=45,"PASS",IF(G747&gt;=40,"FAIR",IF(G747&lt;=39,"FAIL"))))))</f>
        <v>EXCELLENT</v>
      </c>
    </row>
    <row r="748" spans="1:11" s="3" customFormat="1" ht="41.25" customHeight="1" x14ac:dyDescent="0.4">
      <c r="A748" s="30" t="s">
        <v>7</v>
      </c>
      <c r="B748" s="33">
        <v>10</v>
      </c>
      <c r="C748" s="33">
        <v>9</v>
      </c>
      <c r="D748" s="33">
        <v>19</v>
      </c>
      <c r="E748" s="33">
        <v>19</v>
      </c>
      <c r="F748" s="33">
        <v>40</v>
      </c>
      <c r="G748" s="33">
        <f t="shared" si="36"/>
        <v>97</v>
      </c>
      <c r="H748" s="39">
        <v>58.9</v>
      </c>
      <c r="I748" s="33" t="s">
        <v>111</v>
      </c>
      <c r="J748" s="33" t="str">
        <f t="shared" ref="J748:J763" si="37">IF(G748&gt;=70,"A",IF(G748&gt;=60,"B",IF(G748&gt;=50,"C",IF(G748&gt;=45,"D",IF(G748&gt;=40,"E",IF(G748&lt;=39,"F"))))))</f>
        <v>A</v>
      </c>
      <c r="K748" s="34" t="str">
        <f t="shared" ref="K748:K763" si="38">IF(G748&gt;=70,"EXCELLENT",IF(G748&gt;=60,"V.GOOD",IF(G748&gt;=50,"GOOD",IF(G748&gt;=45,"PASS",IF(G748&gt;=40,"FAIR",IF(G748&lt;=39,"FAIL"))))))</f>
        <v>EXCELLENT</v>
      </c>
    </row>
    <row r="749" spans="1:11" s="3" customFormat="1" ht="41.25" customHeight="1" x14ac:dyDescent="0.4">
      <c r="A749" s="30" t="s">
        <v>8</v>
      </c>
      <c r="B749" s="33">
        <v>8</v>
      </c>
      <c r="C749" s="33">
        <v>6</v>
      </c>
      <c r="D749" s="33">
        <v>16</v>
      </c>
      <c r="E749" s="33">
        <v>10</v>
      </c>
      <c r="F749" s="33">
        <v>27</v>
      </c>
      <c r="G749" s="33">
        <f t="shared" si="36"/>
        <v>67</v>
      </c>
      <c r="H749" s="39">
        <v>51.8</v>
      </c>
      <c r="I749" s="31" t="s">
        <v>111</v>
      </c>
      <c r="J749" s="33" t="str">
        <f t="shared" si="37"/>
        <v>B</v>
      </c>
      <c r="K749" s="34" t="str">
        <f t="shared" si="38"/>
        <v>V.GOOD</v>
      </c>
    </row>
    <row r="750" spans="1:11" s="3" customFormat="1" ht="41.25" customHeight="1" x14ac:dyDescent="0.4">
      <c r="A750" s="30" t="s">
        <v>13</v>
      </c>
      <c r="B750" s="33">
        <v>10</v>
      </c>
      <c r="C750" s="33">
        <v>10</v>
      </c>
      <c r="D750" s="33">
        <v>17</v>
      </c>
      <c r="E750" s="33">
        <v>18</v>
      </c>
      <c r="F750" s="33">
        <v>31</v>
      </c>
      <c r="G750" s="33">
        <f t="shared" si="36"/>
        <v>86</v>
      </c>
      <c r="H750" s="39">
        <v>72.599999999999994</v>
      </c>
      <c r="I750" s="33" t="s">
        <v>111</v>
      </c>
      <c r="J750" s="33" t="str">
        <f t="shared" si="37"/>
        <v>A</v>
      </c>
      <c r="K750" s="34" t="str">
        <f t="shared" si="38"/>
        <v>EXCELLENT</v>
      </c>
    </row>
    <row r="751" spans="1:11" s="3" customFormat="1" ht="41.25" customHeight="1" x14ac:dyDescent="0.4">
      <c r="A751" s="30" t="s">
        <v>9</v>
      </c>
      <c r="B751" s="33">
        <v>10</v>
      </c>
      <c r="C751" s="33">
        <v>10</v>
      </c>
      <c r="D751" s="33">
        <v>19</v>
      </c>
      <c r="E751" s="33">
        <v>19</v>
      </c>
      <c r="F751" s="33">
        <v>39</v>
      </c>
      <c r="G751" s="33">
        <f t="shared" si="36"/>
        <v>97</v>
      </c>
      <c r="H751" s="39">
        <v>71.400000000000006</v>
      </c>
      <c r="I751" s="31" t="s">
        <v>111</v>
      </c>
      <c r="J751" s="33" t="str">
        <f t="shared" si="37"/>
        <v>A</v>
      </c>
      <c r="K751" s="34" t="str">
        <f t="shared" si="38"/>
        <v>EXCELLENT</v>
      </c>
    </row>
    <row r="752" spans="1:11" s="3" customFormat="1" ht="41.25" customHeight="1" x14ac:dyDescent="0.4">
      <c r="A752" s="30" t="s">
        <v>82</v>
      </c>
      <c r="B752" s="33">
        <v>6</v>
      </c>
      <c r="C752" s="33">
        <v>7</v>
      </c>
      <c r="D752" s="33">
        <v>16</v>
      </c>
      <c r="E752" s="33">
        <v>14</v>
      </c>
      <c r="F752" s="33">
        <v>35</v>
      </c>
      <c r="G752" s="33">
        <f t="shared" si="36"/>
        <v>78</v>
      </c>
      <c r="H752" s="39">
        <v>54.7</v>
      </c>
      <c r="I752" s="33" t="s">
        <v>112</v>
      </c>
      <c r="J752" s="33" t="str">
        <f t="shared" si="37"/>
        <v>A</v>
      </c>
      <c r="K752" s="34" t="str">
        <f t="shared" si="38"/>
        <v>EXCELLENT</v>
      </c>
    </row>
    <row r="753" spans="1:11" s="3" customFormat="1" ht="41.25" customHeight="1" x14ac:dyDescent="0.4">
      <c r="A753" s="30" t="s">
        <v>21</v>
      </c>
      <c r="B753" s="33">
        <v>10</v>
      </c>
      <c r="C753" s="33">
        <v>10</v>
      </c>
      <c r="D753" s="33">
        <v>20</v>
      </c>
      <c r="E753" s="33">
        <v>20</v>
      </c>
      <c r="F753" s="33">
        <v>36</v>
      </c>
      <c r="G753" s="33">
        <f t="shared" si="36"/>
        <v>96</v>
      </c>
      <c r="H753" s="39">
        <v>65.2</v>
      </c>
      <c r="I753" s="31" t="s">
        <v>111</v>
      </c>
      <c r="J753" s="33" t="str">
        <f t="shared" si="37"/>
        <v>A</v>
      </c>
      <c r="K753" s="34" t="str">
        <f t="shared" si="38"/>
        <v>EXCELLENT</v>
      </c>
    </row>
    <row r="754" spans="1:11" s="3" customFormat="1" ht="41.25" customHeight="1" x14ac:dyDescent="0.4">
      <c r="A754" s="30" t="s">
        <v>10</v>
      </c>
      <c r="B754" s="33">
        <v>10</v>
      </c>
      <c r="C754" s="33">
        <v>10</v>
      </c>
      <c r="D754" s="33">
        <v>18</v>
      </c>
      <c r="E754" s="33">
        <v>20</v>
      </c>
      <c r="F754" s="33">
        <v>38</v>
      </c>
      <c r="G754" s="33">
        <f t="shared" si="36"/>
        <v>96</v>
      </c>
      <c r="H754" s="39">
        <v>71.25</v>
      </c>
      <c r="I754" s="33" t="s">
        <v>111</v>
      </c>
      <c r="J754" s="33" t="str">
        <f t="shared" si="37"/>
        <v>A</v>
      </c>
      <c r="K754" s="34" t="str">
        <f t="shared" si="38"/>
        <v>EXCELLENT</v>
      </c>
    </row>
    <row r="755" spans="1:11" s="3" customFormat="1" ht="41.25" customHeight="1" x14ac:dyDescent="0.4">
      <c r="A755" s="30" t="s">
        <v>12</v>
      </c>
      <c r="B755" s="33">
        <v>10</v>
      </c>
      <c r="C755" s="33">
        <v>9</v>
      </c>
      <c r="D755" s="33">
        <v>20</v>
      </c>
      <c r="E755" s="33">
        <v>20</v>
      </c>
      <c r="F755" s="33">
        <v>39</v>
      </c>
      <c r="G755" s="33">
        <f t="shared" si="36"/>
        <v>98</v>
      </c>
      <c r="H755" s="39">
        <v>79.5</v>
      </c>
      <c r="I755" s="31" t="s">
        <v>112</v>
      </c>
      <c r="J755" s="33" t="str">
        <f t="shared" si="37"/>
        <v>A</v>
      </c>
      <c r="K755" s="34" t="str">
        <f t="shared" si="38"/>
        <v>EXCELLENT</v>
      </c>
    </row>
    <row r="756" spans="1:11" s="3" customFormat="1" ht="41.25" customHeight="1" x14ac:dyDescent="0.4">
      <c r="A756" s="30" t="s">
        <v>11</v>
      </c>
      <c r="B756" s="33">
        <v>8</v>
      </c>
      <c r="C756" s="33">
        <v>7</v>
      </c>
      <c r="D756" s="33">
        <v>15</v>
      </c>
      <c r="E756" s="33">
        <v>15</v>
      </c>
      <c r="F756" s="33">
        <v>37</v>
      </c>
      <c r="G756" s="33">
        <f t="shared" si="36"/>
        <v>82</v>
      </c>
      <c r="H756" s="39">
        <v>66.08</v>
      </c>
      <c r="I756" s="33" t="s">
        <v>111</v>
      </c>
      <c r="J756" s="33" t="str">
        <f t="shared" si="37"/>
        <v>A</v>
      </c>
      <c r="K756" s="34" t="str">
        <f t="shared" si="38"/>
        <v>EXCELLENT</v>
      </c>
    </row>
    <row r="757" spans="1:11" s="3" customFormat="1" ht="41.25" customHeight="1" x14ac:dyDescent="0.4">
      <c r="A757" s="30" t="s">
        <v>14</v>
      </c>
      <c r="B757" s="33">
        <v>8</v>
      </c>
      <c r="C757" s="33">
        <v>10</v>
      </c>
      <c r="D757" s="33">
        <v>20</v>
      </c>
      <c r="E757" s="33">
        <v>17</v>
      </c>
      <c r="F757" s="33">
        <v>37</v>
      </c>
      <c r="G757" s="33">
        <f t="shared" si="36"/>
        <v>92</v>
      </c>
      <c r="H757" s="39">
        <v>69.5</v>
      </c>
      <c r="I757" s="31" t="s">
        <v>112</v>
      </c>
      <c r="J757" s="33" t="str">
        <f t="shared" si="37"/>
        <v>A</v>
      </c>
      <c r="K757" s="34" t="str">
        <f t="shared" si="38"/>
        <v>EXCELLENT</v>
      </c>
    </row>
    <row r="758" spans="1:11" s="3" customFormat="1" ht="41.25" customHeight="1" x14ac:dyDescent="0.4">
      <c r="A758" s="30" t="s">
        <v>15</v>
      </c>
      <c r="B758" s="33">
        <v>10</v>
      </c>
      <c r="C758" s="33">
        <v>10</v>
      </c>
      <c r="D758" s="33">
        <v>16</v>
      </c>
      <c r="E758" s="33">
        <v>20</v>
      </c>
      <c r="F758" s="33">
        <v>36</v>
      </c>
      <c r="G758" s="33">
        <f t="shared" si="36"/>
        <v>92</v>
      </c>
      <c r="H758" s="39">
        <v>61.75</v>
      </c>
      <c r="I758" s="33" t="s">
        <v>111</v>
      </c>
      <c r="J758" s="33" t="str">
        <f t="shared" si="37"/>
        <v>A</v>
      </c>
      <c r="K758" s="34" t="str">
        <f t="shared" si="38"/>
        <v>EXCELLENT</v>
      </c>
    </row>
    <row r="759" spans="1:11" s="3" customFormat="1" ht="41.25" customHeight="1" x14ac:dyDescent="0.4">
      <c r="A759" s="30" t="s">
        <v>16</v>
      </c>
      <c r="B759" s="33">
        <v>10</v>
      </c>
      <c r="C759" s="33">
        <v>10</v>
      </c>
      <c r="D759" s="33">
        <v>20</v>
      </c>
      <c r="E759" s="33">
        <v>20</v>
      </c>
      <c r="F759" s="33">
        <v>36</v>
      </c>
      <c r="G759" s="33">
        <f t="shared" si="36"/>
        <v>96</v>
      </c>
      <c r="H759" s="39">
        <v>61.17</v>
      </c>
      <c r="I759" s="31" t="s">
        <v>111</v>
      </c>
      <c r="J759" s="33" t="str">
        <f t="shared" si="37"/>
        <v>A</v>
      </c>
      <c r="K759" s="34" t="str">
        <f t="shared" si="38"/>
        <v>EXCELLENT</v>
      </c>
    </row>
    <row r="760" spans="1:11" s="3" customFormat="1" ht="41.25" customHeight="1" x14ac:dyDescent="0.4">
      <c r="A760" s="30" t="s">
        <v>17</v>
      </c>
      <c r="B760" s="33">
        <v>10</v>
      </c>
      <c r="C760" s="33">
        <v>10</v>
      </c>
      <c r="D760" s="33">
        <v>19</v>
      </c>
      <c r="E760" s="33">
        <v>19</v>
      </c>
      <c r="F760" s="33">
        <v>40</v>
      </c>
      <c r="G760" s="33">
        <f t="shared" si="36"/>
        <v>98</v>
      </c>
      <c r="H760" s="39">
        <v>62.6</v>
      </c>
      <c r="I760" s="33" t="s">
        <v>111</v>
      </c>
      <c r="J760" s="33" t="str">
        <f t="shared" si="37"/>
        <v>A</v>
      </c>
      <c r="K760" s="34" t="str">
        <f t="shared" si="38"/>
        <v>EXCELLENT</v>
      </c>
    </row>
    <row r="761" spans="1:11" s="3" customFormat="1" ht="41.25" customHeight="1" x14ac:dyDescent="0.4">
      <c r="A761" s="30" t="s">
        <v>18</v>
      </c>
      <c r="B761" s="33">
        <v>10</v>
      </c>
      <c r="C761" s="33">
        <v>10</v>
      </c>
      <c r="D761" s="33">
        <v>20</v>
      </c>
      <c r="E761" s="33">
        <v>20</v>
      </c>
      <c r="F761" s="33">
        <v>36</v>
      </c>
      <c r="G761" s="33">
        <f t="shared" si="36"/>
        <v>96</v>
      </c>
      <c r="H761" s="39">
        <v>70</v>
      </c>
      <c r="I761" s="31" t="s">
        <v>111</v>
      </c>
      <c r="J761" s="33" t="str">
        <f t="shared" si="37"/>
        <v>A</v>
      </c>
      <c r="K761" s="34" t="str">
        <f t="shared" si="38"/>
        <v>EXCELLENT</v>
      </c>
    </row>
    <row r="762" spans="1:11" s="3" customFormat="1" ht="41.25" customHeight="1" x14ac:dyDescent="0.4">
      <c r="A762" s="30" t="s">
        <v>19</v>
      </c>
      <c r="B762" s="33">
        <v>10</v>
      </c>
      <c r="C762" s="33">
        <v>10</v>
      </c>
      <c r="D762" s="33">
        <v>20</v>
      </c>
      <c r="E762" s="33">
        <v>20</v>
      </c>
      <c r="F762" s="33">
        <v>39</v>
      </c>
      <c r="G762" s="33">
        <f t="shared" si="36"/>
        <v>99</v>
      </c>
      <c r="H762" s="39">
        <v>69.25</v>
      </c>
      <c r="I762" s="33" t="s">
        <v>111</v>
      </c>
      <c r="J762" s="33" t="str">
        <f t="shared" si="37"/>
        <v>A</v>
      </c>
      <c r="K762" s="34" t="str">
        <f t="shared" si="38"/>
        <v>EXCELLENT</v>
      </c>
    </row>
    <row r="763" spans="1:11" s="3" customFormat="1" ht="41.25" customHeight="1" x14ac:dyDescent="0.4">
      <c r="A763" s="30" t="s">
        <v>20</v>
      </c>
      <c r="B763" s="33">
        <v>10</v>
      </c>
      <c r="C763" s="33">
        <v>10</v>
      </c>
      <c r="D763" s="33">
        <v>20</v>
      </c>
      <c r="E763" s="33">
        <v>20</v>
      </c>
      <c r="F763" s="33">
        <v>34</v>
      </c>
      <c r="G763" s="33">
        <f t="shared" si="36"/>
        <v>94</v>
      </c>
      <c r="H763" s="39">
        <v>67</v>
      </c>
      <c r="I763" s="31" t="s">
        <v>111</v>
      </c>
      <c r="J763" s="33" t="str">
        <f t="shared" si="37"/>
        <v>A</v>
      </c>
      <c r="K763" s="34" t="str">
        <f t="shared" si="38"/>
        <v>EXCELLENT</v>
      </c>
    </row>
    <row r="764" spans="1:11" s="3" customFormat="1" ht="41.25" customHeight="1" x14ac:dyDescent="0.4">
      <c r="A764" s="4"/>
      <c r="B764" s="33"/>
      <c r="C764" s="33"/>
      <c r="D764" s="33"/>
      <c r="E764" s="33"/>
      <c r="F764" s="33"/>
      <c r="G764" s="33"/>
      <c r="H764" s="25"/>
      <c r="I764" s="25"/>
      <c r="J764" s="25"/>
      <c r="K764" s="35"/>
    </row>
    <row r="765" spans="1:11" s="3" customFormat="1" ht="41.25" customHeight="1" x14ac:dyDescent="0.4">
      <c r="A765" s="4"/>
      <c r="B765" s="33"/>
      <c r="C765" s="33"/>
      <c r="D765" s="33"/>
      <c r="E765" s="33"/>
      <c r="F765" s="33"/>
      <c r="G765" s="33"/>
      <c r="H765" s="25"/>
      <c r="I765" s="25"/>
      <c r="J765" s="25"/>
      <c r="K765" s="35"/>
    </row>
    <row r="766" spans="1:11" s="3" customFormat="1" ht="31.5" customHeight="1" x14ac:dyDescent="0.35">
      <c r="A766" s="5"/>
    </row>
    <row r="767" spans="1:11" s="3" customFormat="1" ht="31.5" customHeight="1" x14ac:dyDescent="0.45">
      <c r="A767" s="56" t="s">
        <v>58</v>
      </c>
      <c r="B767" s="36">
        <f>SUM(G747:G763)</f>
        <v>1550</v>
      </c>
      <c r="C767" s="22"/>
      <c r="D767" s="22"/>
      <c r="E767" s="37"/>
      <c r="F767" s="83" t="s">
        <v>49</v>
      </c>
      <c r="G767" s="83"/>
      <c r="H767" s="93">
        <f>B767</f>
        <v>1550</v>
      </c>
      <c r="I767" s="93"/>
      <c r="J767" s="92" t="s">
        <v>50</v>
      </c>
      <c r="K767" s="82">
        <f>H767/17</f>
        <v>91.17647058823529</v>
      </c>
    </row>
    <row r="768" spans="1:11" s="3" customFormat="1" ht="31.5" customHeight="1" x14ac:dyDescent="0.45">
      <c r="A768" s="37"/>
      <c r="B768" s="22"/>
      <c r="C768" s="22"/>
      <c r="D768" s="22"/>
      <c r="E768" s="37"/>
      <c r="F768" s="37"/>
      <c r="G768" s="37"/>
      <c r="H768" s="83">
        <v>17</v>
      </c>
      <c r="I768" s="83"/>
      <c r="J768" s="92"/>
      <c r="K768" s="82"/>
    </row>
    <row r="769" spans="1:11" s="3" customFormat="1" ht="31.5" customHeight="1" x14ac:dyDescent="0.35">
      <c r="A769" s="5"/>
      <c r="E769" s="5"/>
      <c r="F769" s="5"/>
      <c r="G769" s="5"/>
      <c r="H769" s="8"/>
      <c r="I769" s="8"/>
      <c r="J769" s="12"/>
      <c r="K769" s="13"/>
    </row>
    <row r="770" spans="1:11" s="3" customFormat="1" ht="33.75" customHeight="1" x14ac:dyDescent="0.35">
      <c r="A770" s="5"/>
      <c r="D770" s="84" t="s">
        <v>30</v>
      </c>
      <c r="E770" s="84"/>
      <c r="F770" s="84"/>
      <c r="G770" s="84"/>
      <c r="H770" s="84"/>
    </row>
    <row r="771" spans="1:11" s="3" customFormat="1" ht="33.75" customHeight="1" x14ac:dyDescent="0.35">
      <c r="A771" s="85" t="s">
        <v>31</v>
      </c>
      <c r="B771" s="86"/>
      <c r="C771" s="87"/>
      <c r="D771" s="41" t="s">
        <v>44</v>
      </c>
      <c r="E771" s="41" t="s">
        <v>45</v>
      </c>
      <c r="F771" s="41" t="s">
        <v>46</v>
      </c>
      <c r="G771" s="41" t="s">
        <v>47</v>
      </c>
      <c r="H771" s="41" t="s">
        <v>48</v>
      </c>
      <c r="I771" s="9"/>
      <c r="J771" s="11" t="s">
        <v>51</v>
      </c>
      <c r="K771" s="5"/>
    </row>
    <row r="772" spans="1:11" s="3" customFormat="1" ht="33.75" customHeight="1" x14ac:dyDescent="0.35">
      <c r="A772" s="88" t="s">
        <v>32</v>
      </c>
      <c r="B772" s="88"/>
      <c r="C772" s="88"/>
      <c r="D772" s="45" t="s">
        <v>124</v>
      </c>
      <c r="E772" s="7"/>
      <c r="F772" s="7"/>
      <c r="G772" s="7"/>
      <c r="H772" s="7"/>
      <c r="I772" s="9"/>
      <c r="J772" s="5" t="s">
        <v>52</v>
      </c>
      <c r="K772" s="5"/>
    </row>
    <row r="773" spans="1:11" s="3" customFormat="1" ht="33.75" customHeight="1" x14ac:dyDescent="0.35">
      <c r="A773" s="88" t="s">
        <v>33</v>
      </c>
      <c r="B773" s="88"/>
      <c r="C773" s="88"/>
      <c r="D773" s="45" t="s">
        <v>124</v>
      </c>
      <c r="E773" s="7"/>
      <c r="F773" s="7"/>
      <c r="G773" s="7"/>
      <c r="H773" s="7"/>
      <c r="I773" s="9"/>
      <c r="J773" s="5" t="s">
        <v>53</v>
      </c>
      <c r="K773" s="5"/>
    </row>
    <row r="774" spans="1:11" s="3" customFormat="1" ht="33.75" customHeight="1" x14ac:dyDescent="0.35">
      <c r="A774" s="88" t="s">
        <v>34</v>
      </c>
      <c r="B774" s="88"/>
      <c r="C774" s="88"/>
      <c r="D774" s="45" t="s">
        <v>124</v>
      </c>
      <c r="E774" s="7"/>
      <c r="F774" s="7"/>
      <c r="G774" s="7"/>
      <c r="H774" s="7"/>
      <c r="I774" s="9"/>
      <c r="J774" s="5" t="s">
        <v>54</v>
      </c>
      <c r="K774" s="5"/>
    </row>
    <row r="775" spans="1:11" s="3" customFormat="1" ht="33.75" customHeight="1" x14ac:dyDescent="0.35">
      <c r="A775" s="88" t="s">
        <v>35</v>
      </c>
      <c r="B775" s="88"/>
      <c r="C775" s="88"/>
      <c r="D775" s="45" t="s">
        <v>124</v>
      </c>
      <c r="E775" s="7"/>
      <c r="F775" s="7"/>
      <c r="G775" s="7"/>
      <c r="H775" s="7"/>
      <c r="I775" s="9"/>
      <c r="J775" s="5" t="s">
        <v>55</v>
      </c>
      <c r="K775" s="5"/>
    </row>
    <row r="776" spans="1:11" s="3" customFormat="1" ht="33.75" customHeight="1" x14ac:dyDescent="0.35">
      <c r="A776" s="88" t="s">
        <v>36</v>
      </c>
      <c r="B776" s="88"/>
      <c r="C776" s="88"/>
      <c r="D776" s="45" t="s">
        <v>124</v>
      </c>
      <c r="E776" s="7"/>
      <c r="F776" s="7"/>
      <c r="G776" s="7"/>
      <c r="H776" s="7"/>
      <c r="I776" s="9"/>
      <c r="J776" s="5" t="s">
        <v>56</v>
      </c>
      <c r="K776" s="5"/>
    </row>
    <row r="777" spans="1:11" s="3" customFormat="1" ht="33.75" customHeight="1" x14ac:dyDescent="0.35">
      <c r="A777" s="88" t="s">
        <v>37</v>
      </c>
      <c r="B777" s="88"/>
      <c r="C777" s="88"/>
      <c r="D777" s="45" t="s">
        <v>124</v>
      </c>
      <c r="E777" s="7"/>
      <c r="F777" s="7"/>
      <c r="G777" s="7"/>
      <c r="H777" s="7"/>
      <c r="I777" s="9"/>
      <c r="J777" s="5" t="s">
        <v>57</v>
      </c>
      <c r="K777" s="5"/>
    </row>
    <row r="778" spans="1:11" s="3" customFormat="1" ht="33.75" customHeight="1" x14ac:dyDescent="0.35">
      <c r="A778" s="88" t="s">
        <v>38</v>
      </c>
      <c r="B778" s="88"/>
      <c r="C778" s="88"/>
      <c r="D778" s="45" t="s">
        <v>124</v>
      </c>
      <c r="E778" s="7"/>
      <c r="F778" s="7"/>
      <c r="G778" s="7"/>
      <c r="H778" s="7"/>
      <c r="I778" s="9"/>
    </row>
    <row r="779" spans="1:11" s="3" customFormat="1" ht="33.75" customHeight="1" x14ac:dyDescent="0.35">
      <c r="A779" s="88" t="s">
        <v>39</v>
      </c>
      <c r="B779" s="88"/>
      <c r="C779" s="88"/>
      <c r="D779" s="45" t="s">
        <v>124</v>
      </c>
      <c r="E779" s="7"/>
      <c r="F779" s="7"/>
      <c r="G779" s="7"/>
      <c r="H779" s="7"/>
      <c r="I779" s="9"/>
    </row>
    <row r="780" spans="1:11" s="3" customFormat="1" ht="33.75" customHeight="1" x14ac:dyDescent="0.35">
      <c r="A780" s="88" t="s">
        <v>40</v>
      </c>
      <c r="B780" s="88"/>
      <c r="C780" s="88"/>
      <c r="D780" s="45" t="s">
        <v>124</v>
      </c>
      <c r="E780" s="7"/>
      <c r="F780" s="7"/>
      <c r="G780" s="7"/>
      <c r="H780" s="7"/>
      <c r="I780" s="9"/>
    </row>
    <row r="781" spans="1:11" s="3" customFormat="1" ht="33.75" customHeight="1" x14ac:dyDescent="0.35">
      <c r="A781" s="88" t="s">
        <v>41</v>
      </c>
      <c r="B781" s="88"/>
      <c r="C781" s="88"/>
      <c r="D781" s="45" t="s">
        <v>124</v>
      </c>
      <c r="E781" s="7"/>
      <c r="F781" s="7"/>
      <c r="G781" s="7"/>
      <c r="H781" s="7"/>
      <c r="I781" s="9"/>
    </row>
    <row r="782" spans="1:11" s="3" customFormat="1" ht="33.75" customHeight="1" x14ac:dyDescent="0.35">
      <c r="A782" s="88" t="s">
        <v>42</v>
      </c>
      <c r="B782" s="88"/>
      <c r="C782" s="88"/>
      <c r="D782" s="45"/>
      <c r="E782" s="45" t="s">
        <v>124</v>
      </c>
      <c r="F782" s="7"/>
      <c r="G782" s="7"/>
      <c r="H782" s="7"/>
      <c r="I782" s="9"/>
    </row>
    <row r="783" spans="1:11" s="3" customFormat="1" ht="33.75" customHeight="1" x14ac:dyDescent="0.35">
      <c r="A783" s="88" t="s">
        <v>43</v>
      </c>
      <c r="B783" s="88"/>
      <c r="C783" s="88"/>
      <c r="D783" s="45" t="s">
        <v>124</v>
      </c>
      <c r="E783" s="45"/>
      <c r="F783" s="7"/>
      <c r="G783" s="7"/>
      <c r="H783" s="7"/>
      <c r="I783" s="9"/>
    </row>
    <row r="784" spans="1:11" ht="50.25" customHeight="1" x14ac:dyDescent="0.25"/>
    <row r="785" spans="1:11" s="15" customFormat="1" ht="31.5" customHeight="1" x14ac:dyDescent="0.4">
      <c r="A785" s="17" t="s">
        <v>78</v>
      </c>
      <c r="B785" s="17"/>
      <c r="C785" s="98" t="s">
        <v>79</v>
      </c>
      <c r="D785" s="98"/>
      <c r="E785" s="98"/>
      <c r="F785" s="98"/>
      <c r="G785" s="98"/>
      <c r="H785" s="98"/>
      <c r="I785" s="98"/>
      <c r="J785" s="98"/>
      <c r="K785" s="16"/>
    </row>
    <row r="786" spans="1:11" s="15" customFormat="1" ht="42.75" customHeight="1" x14ac:dyDescent="0.4">
      <c r="A786" s="17" t="s">
        <v>80</v>
      </c>
      <c r="B786" s="17"/>
      <c r="C786" s="95" t="s">
        <v>107</v>
      </c>
      <c r="D786" s="95"/>
      <c r="E786" s="95"/>
      <c r="F786" s="95"/>
      <c r="G786" s="95"/>
      <c r="H786" s="95"/>
      <c r="I786" s="16"/>
      <c r="J786" s="16"/>
      <c r="K786" s="16"/>
    </row>
    <row r="787" spans="1:11" s="15" customFormat="1" ht="31.5" customHeight="1" x14ac:dyDescent="0.4">
      <c r="A787" s="17"/>
      <c r="B787" s="17"/>
      <c r="C787" s="18"/>
      <c r="D787" s="18"/>
      <c r="E787" s="18"/>
      <c r="F787" s="18"/>
      <c r="G787" s="18"/>
      <c r="H787" s="18"/>
      <c r="I787" s="16"/>
      <c r="J787" s="16"/>
      <c r="K787" s="16"/>
    </row>
    <row r="788" spans="1:11" s="15" customFormat="1" ht="31.5" customHeight="1" x14ac:dyDescent="0.4">
      <c r="A788" s="17" t="s">
        <v>81</v>
      </c>
      <c r="B788" s="17"/>
      <c r="C788" s="98" t="s">
        <v>79</v>
      </c>
      <c r="D788" s="98"/>
      <c r="E788" s="98"/>
      <c r="F788" s="98"/>
      <c r="G788" s="98"/>
      <c r="H788" s="98"/>
      <c r="I788" s="98"/>
      <c r="J788" s="98"/>
      <c r="K788" s="16"/>
    </row>
    <row r="789" spans="1:11" s="15" customFormat="1" ht="46.5" customHeight="1" x14ac:dyDescent="0.4">
      <c r="A789" s="17" t="s">
        <v>80</v>
      </c>
      <c r="B789" s="17"/>
      <c r="C789" s="95" t="s">
        <v>107</v>
      </c>
      <c r="D789" s="95"/>
      <c r="E789" s="95"/>
      <c r="F789" s="95"/>
      <c r="G789" s="95"/>
      <c r="H789" s="95"/>
      <c r="I789" s="16"/>
      <c r="J789" s="16"/>
      <c r="K789" s="16"/>
    </row>
    <row r="791" spans="1:11" ht="66" customHeight="1" x14ac:dyDescent="0.25">
      <c r="A791" s="62" t="s">
        <v>0</v>
      </c>
      <c r="B791" s="62"/>
      <c r="C791" s="62"/>
      <c r="D791" s="62"/>
      <c r="E791" s="62"/>
      <c r="F791" s="62"/>
      <c r="G791" s="62"/>
      <c r="H791" s="62"/>
      <c r="I791" s="62"/>
      <c r="J791" s="62"/>
      <c r="K791" s="62"/>
    </row>
    <row r="792" spans="1:11" ht="27.75" customHeight="1" x14ac:dyDescent="0.3">
      <c r="A792" s="63" t="s">
        <v>1</v>
      </c>
      <c r="B792" s="63"/>
      <c r="C792" s="63"/>
      <c r="D792" s="63"/>
      <c r="E792" s="63"/>
      <c r="F792" s="63"/>
      <c r="G792" s="63"/>
      <c r="H792" s="63"/>
      <c r="I792" s="63"/>
      <c r="J792" s="63"/>
      <c r="K792" s="63"/>
    </row>
    <row r="793" spans="1:11" ht="46.5" customHeight="1" x14ac:dyDescent="0.25">
      <c r="A793" s="64" t="s">
        <v>2</v>
      </c>
      <c r="B793" s="64"/>
      <c r="C793" s="64"/>
      <c r="D793" s="64"/>
      <c r="E793" s="64"/>
      <c r="F793" s="64"/>
      <c r="G793" s="64"/>
      <c r="H793" s="64"/>
      <c r="I793" s="64"/>
      <c r="J793" s="64"/>
      <c r="K793" s="64"/>
    </row>
    <row r="794" spans="1:11" ht="39" customHeight="1" x14ac:dyDescent="0.55000000000000004">
      <c r="A794" s="65" t="s">
        <v>3</v>
      </c>
      <c r="B794" s="65"/>
      <c r="C794" s="65"/>
      <c r="D794" s="65"/>
      <c r="E794" s="65"/>
      <c r="F794" s="65"/>
      <c r="G794" s="65"/>
      <c r="H794" s="65"/>
      <c r="I794" s="65"/>
      <c r="J794" s="65"/>
      <c r="K794" s="65"/>
    </row>
    <row r="795" spans="1:11" ht="31.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s="20" customFormat="1" ht="31.5" customHeight="1" x14ac:dyDescent="0.4">
      <c r="A796" s="19" t="s">
        <v>60</v>
      </c>
      <c r="B796" s="59" t="s">
        <v>99</v>
      </c>
      <c r="C796" s="59"/>
      <c r="D796" s="59"/>
      <c r="E796" s="59"/>
      <c r="F796" s="59"/>
      <c r="G796" s="19" t="s">
        <v>59</v>
      </c>
      <c r="H796" s="47" t="s">
        <v>100</v>
      </c>
      <c r="I796" s="19" t="s">
        <v>75</v>
      </c>
      <c r="J796" s="59" t="s">
        <v>91</v>
      </c>
      <c r="K796" s="59"/>
    </row>
    <row r="797" spans="1:11" s="20" customFormat="1" ht="31.5" customHeight="1" x14ac:dyDescent="0.4">
      <c r="A797" s="19" t="s">
        <v>61</v>
      </c>
      <c r="B797" s="59"/>
      <c r="C797" s="59"/>
      <c r="D797" s="19" t="s">
        <v>68</v>
      </c>
      <c r="E797" s="59"/>
      <c r="F797" s="59"/>
      <c r="G797" s="59"/>
      <c r="H797" s="59"/>
      <c r="I797" s="19" t="s">
        <v>69</v>
      </c>
      <c r="J797" s="59" t="s">
        <v>90</v>
      </c>
      <c r="K797" s="59"/>
    </row>
    <row r="798" spans="1:11" s="20" customFormat="1" ht="35.25" customHeight="1" x14ac:dyDescent="0.4">
      <c r="A798" s="19" t="s">
        <v>63</v>
      </c>
      <c r="B798" s="47" t="s">
        <v>64</v>
      </c>
      <c r="C798" s="47"/>
      <c r="D798" s="47"/>
      <c r="E798" s="55"/>
      <c r="F798" s="19" t="s">
        <v>62</v>
      </c>
      <c r="H798" s="47">
        <v>12</v>
      </c>
      <c r="I798" s="19" t="s">
        <v>70</v>
      </c>
      <c r="J798" s="59"/>
      <c r="K798" s="59"/>
    </row>
    <row r="799" spans="1:11" s="20" customFormat="1" ht="39" customHeight="1" x14ac:dyDescent="0.4">
      <c r="A799" s="19" t="s">
        <v>71</v>
      </c>
      <c r="B799" s="21" t="s">
        <v>86</v>
      </c>
      <c r="C799" s="21"/>
      <c r="D799" s="21"/>
      <c r="E799" s="21"/>
      <c r="F799" s="19" t="s">
        <v>73</v>
      </c>
      <c r="G799" s="19"/>
      <c r="H799" s="24" t="s">
        <v>87</v>
      </c>
      <c r="I799" s="21"/>
      <c r="J799" s="21"/>
      <c r="K799" s="21"/>
    </row>
    <row r="800" spans="1:11" s="20" customFormat="1" ht="39.75" customHeight="1" x14ac:dyDescent="0.4">
      <c r="A800" s="19" t="s">
        <v>72</v>
      </c>
      <c r="B800" s="21"/>
      <c r="C800" s="60"/>
      <c r="D800" s="60"/>
      <c r="E800" s="60"/>
      <c r="F800" s="19" t="s">
        <v>74</v>
      </c>
      <c r="G800" s="19"/>
      <c r="H800" s="61"/>
      <c r="I800" s="61"/>
      <c r="J800" s="61"/>
      <c r="K800" s="61"/>
    </row>
    <row r="801" spans="1:11" s="20" customFormat="1" ht="21" customHeight="1" x14ac:dyDescent="0.4">
      <c r="A801" s="19"/>
      <c r="B801" s="21"/>
      <c r="C801" s="51"/>
      <c r="D801" s="51"/>
      <c r="E801" s="51"/>
      <c r="F801" s="19"/>
      <c r="G801" s="19"/>
      <c r="H801" s="52"/>
      <c r="I801" s="52"/>
      <c r="J801" s="52"/>
      <c r="K801" s="52"/>
    </row>
    <row r="802" spans="1:11" s="14" customFormat="1" ht="36.75" customHeight="1" x14ac:dyDescent="0.45">
      <c r="A802" s="15"/>
      <c r="B802" s="67" t="s">
        <v>5</v>
      </c>
      <c r="C802" s="67"/>
      <c r="D802" s="67"/>
      <c r="E802" s="67"/>
      <c r="F802" s="67"/>
      <c r="G802" s="67"/>
      <c r="H802" s="67"/>
      <c r="I802" s="67"/>
      <c r="J802" s="67"/>
      <c r="K802" s="67"/>
    </row>
    <row r="803" spans="1:11" s="14" customFormat="1" ht="31.5" customHeight="1" x14ac:dyDescent="0.4">
      <c r="B803" s="68" t="s">
        <v>22</v>
      </c>
      <c r="C803" s="69"/>
      <c r="D803" s="69"/>
      <c r="E803" s="69"/>
      <c r="F803" s="49" t="s">
        <v>24</v>
      </c>
      <c r="G803" s="70" t="s">
        <v>25</v>
      </c>
      <c r="H803" s="72" t="s">
        <v>27</v>
      </c>
      <c r="I803" s="75" t="s">
        <v>66</v>
      </c>
      <c r="J803" s="76"/>
      <c r="K803" s="76" t="s">
        <v>29</v>
      </c>
    </row>
    <row r="804" spans="1:11" s="14" customFormat="1" ht="31.5" customHeight="1" x14ac:dyDescent="0.4">
      <c r="B804" s="68" t="s">
        <v>76</v>
      </c>
      <c r="C804" s="79"/>
      <c r="D804" s="26" t="s">
        <v>77</v>
      </c>
      <c r="E804" s="27" t="s">
        <v>77</v>
      </c>
      <c r="F804" s="28" t="s">
        <v>23</v>
      </c>
      <c r="G804" s="71"/>
      <c r="H804" s="73"/>
      <c r="I804" s="75"/>
      <c r="J804" s="77"/>
      <c r="K804" s="77"/>
    </row>
    <row r="805" spans="1:11" s="14" customFormat="1" ht="31.5" customHeight="1" x14ac:dyDescent="0.4">
      <c r="B805" s="80">
        <v>0.1</v>
      </c>
      <c r="C805" s="80">
        <v>0.1</v>
      </c>
      <c r="D805" s="80">
        <v>0.2</v>
      </c>
      <c r="E805" s="80">
        <v>0.2</v>
      </c>
      <c r="F805" s="90">
        <v>0.4</v>
      </c>
      <c r="G805" s="53" t="s">
        <v>26</v>
      </c>
      <c r="H805" s="74"/>
      <c r="I805" s="70"/>
      <c r="J805" s="77"/>
      <c r="K805" s="77"/>
    </row>
    <row r="806" spans="1:11" s="14" customFormat="1" ht="31.5" customHeight="1" x14ac:dyDescent="0.4">
      <c r="A806" s="23" t="s">
        <v>4</v>
      </c>
      <c r="B806" s="81"/>
      <c r="C806" s="81"/>
      <c r="D806" s="81"/>
      <c r="E806" s="81"/>
      <c r="F806" s="91"/>
      <c r="G806" s="29">
        <v>1</v>
      </c>
      <c r="H806" s="28" t="s">
        <v>28</v>
      </c>
      <c r="I806" s="43" t="s">
        <v>65</v>
      </c>
      <c r="J806" s="48" t="s">
        <v>67</v>
      </c>
      <c r="K806" s="78"/>
    </row>
    <row r="807" spans="1:11" s="3" customFormat="1" ht="41.25" customHeight="1" x14ac:dyDescent="0.4">
      <c r="A807" s="30" t="s">
        <v>6</v>
      </c>
      <c r="B807" s="33">
        <v>10</v>
      </c>
      <c r="C807" s="33">
        <v>8</v>
      </c>
      <c r="D807" s="33">
        <v>15</v>
      </c>
      <c r="E807" s="33">
        <v>15</v>
      </c>
      <c r="F807" s="33">
        <v>34</v>
      </c>
      <c r="G807" s="31">
        <f t="shared" ref="G807:G823" si="39">SUM(B807:F807)</f>
        <v>82</v>
      </c>
      <c r="H807" s="38">
        <v>60</v>
      </c>
      <c r="I807" s="31" t="s">
        <v>112</v>
      </c>
      <c r="J807" s="33" t="str">
        <f>IF(G807&gt;=70,"A",IF(G807&gt;=60,"B",IF(G807&gt;=50,"C",IF(G807&gt;=45,"D",IF(G807&gt;=40,"E",IF(G807&lt;=39,"F"))))))</f>
        <v>A</v>
      </c>
      <c r="K807" s="34" t="str">
        <f>IF(G807&gt;=70,"EXCELLENT",IF(G807&gt;=60,"V.GOOD",IF(G807&gt;=50,"GOOD",IF(G807&gt;=45,"PASS",IF(G807&gt;=40,"FAIR",IF(G807&lt;=39,"FAIL"))))))</f>
        <v>EXCELLENT</v>
      </c>
    </row>
    <row r="808" spans="1:11" s="3" customFormat="1" ht="41.25" customHeight="1" x14ac:dyDescent="0.4">
      <c r="A808" s="30" t="s">
        <v>7</v>
      </c>
      <c r="B808" s="33">
        <v>10</v>
      </c>
      <c r="C808" s="33">
        <v>8</v>
      </c>
      <c r="D808" s="33">
        <v>18</v>
      </c>
      <c r="E808" s="33">
        <v>18</v>
      </c>
      <c r="F808" s="33">
        <v>33</v>
      </c>
      <c r="G808" s="33">
        <f t="shared" si="39"/>
        <v>87</v>
      </c>
      <c r="H808" s="39">
        <v>58.9</v>
      </c>
      <c r="I808" s="33" t="s">
        <v>112</v>
      </c>
      <c r="J808" s="33" t="str">
        <f t="shared" ref="J808:J823" si="40">IF(G808&gt;=70,"A",IF(G808&gt;=60,"B",IF(G808&gt;=50,"C",IF(G808&gt;=45,"D",IF(G808&gt;=40,"E",IF(G808&lt;=39,"F"))))))</f>
        <v>A</v>
      </c>
      <c r="K808" s="34" t="str">
        <f t="shared" ref="K808:K823" si="41">IF(G808&gt;=70,"EXCELLENT",IF(G808&gt;=60,"V.GOOD",IF(G808&gt;=50,"GOOD",IF(G808&gt;=45,"PASS",IF(G808&gt;=40,"FAIR",IF(G808&lt;=39,"FAIL"))))))</f>
        <v>EXCELLENT</v>
      </c>
    </row>
    <row r="809" spans="1:11" s="3" customFormat="1" ht="41.25" customHeight="1" x14ac:dyDescent="0.4">
      <c r="A809" s="30" t="s">
        <v>8</v>
      </c>
      <c r="B809" s="33">
        <v>6</v>
      </c>
      <c r="C809" s="33">
        <v>6</v>
      </c>
      <c r="D809" s="33">
        <v>14</v>
      </c>
      <c r="E809" s="33">
        <v>10</v>
      </c>
      <c r="F809" s="33">
        <v>12</v>
      </c>
      <c r="G809" s="33">
        <f t="shared" si="39"/>
        <v>48</v>
      </c>
      <c r="H809" s="39">
        <v>51.8</v>
      </c>
      <c r="I809" s="31" t="s">
        <v>118</v>
      </c>
      <c r="J809" s="33" t="str">
        <f t="shared" si="40"/>
        <v>D</v>
      </c>
      <c r="K809" s="34" t="str">
        <f t="shared" si="41"/>
        <v>PASS</v>
      </c>
    </row>
    <row r="810" spans="1:11" s="3" customFormat="1" ht="41.25" customHeight="1" x14ac:dyDescent="0.4">
      <c r="A810" s="30" t="s">
        <v>13</v>
      </c>
      <c r="B810" s="33">
        <v>10</v>
      </c>
      <c r="C810" s="33">
        <v>10</v>
      </c>
      <c r="D810" s="33">
        <v>17</v>
      </c>
      <c r="E810" s="33">
        <v>17</v>
      </c>
      <c r="F810" s="33">
        <v>30</v>
      </c>
      <c r="G810" s="33">
        <f t="shared" si="39"/>
        <v>84</v>
      </c>
      <c r="H810" s="39">
        <v>72.599999999999994</v>
      </c>
      <c r="I810" s="33" t="s">
        <v>112</v>
      </c>
      <c r="J810" s="33" t="str">
        <f t="shared" si="40"/>
        <v>A</v>
      </c>
      <c r="K810" s="34" t="str">
        <f t="shared" si="41"/>
        <v>EXCELLENT</v>
      </c>
    </row>
    <row r="811" spans="1:11" s="3" customFormat="1" ht="41.25" customHeight="1" x14ac:dyDescent="0.4">
      <c r="A811" s="30" t="s">
        <v>9</v>
      </c>
      <c r="B811" s="33">
        <v>8</v>
      </c>
      <c r="C811" s="33">
        <v>10</v>
      </c>
      <c r="D811" s="33">
        <v>19</v>
      </c>
      <c r="E811" s="33">
        <v>20</v>
      </c>
      <c r="F811" s="33">
        <v>37</v>
      </c>
      <c r="G811" s="33">
        <f t="shared" si="39"/>
        <v>94</v>
      </c>
      <c r="H811" s="39">
        <v>71.400000000000006</v>
      </c>
      <c r="I811" s="31" t="s">
        <v>112</v>
      </c>
      <c r="J811" s="33" t="str">
        <f t="shared" si="40"/>
        <v>A</v>
      </c>
      <c r="K811" s="34" t="str">
        <f t="shared" si="41"/>
        <v>EXCELLENT</v>
      </c>
    </row>
    <row r="812" spans="1:11" s="3" customFormat="1" ht="41.25" customHeight="1" x14ac:dyDescent="0.4">
      <c r="A812" s="30" t="s">
        <v>82</v>
      </c>
      <c r="B812" s="33">
        <v>9</v>
      </c>
      <c r="C812" s="33">
        <v>8</v>
      </c>
      <c r="D812" s="33">
        <v>20</v>
      </c>
      <c r="E812" s="33">
        <v>14</v>
      </c>
      <c r="F812" s="33">
        <v>39</v>
      </c>
      <c r="G812" s="33">
        <f t="shared" si="39"/>
        <v>90</v>
      </c>
      <c r="H812" s="39">
        <v>54.7</v>
      </c>
      <c r="I812" s="33" t="s">
        <v>111</v>
      </c>
      <c r="J812" s="33" t="str">
        <f t="shared" si="40"/>
        <v>A</v>
      </c>
      <c r="K812" s="34" t="str">
        <f t="shared" si="41"/>
        <v>EXCELLENT</v>
      </c>
    </row>
    <row r="813" spans="1:11" s="3" customFormat="1" ht="41.25" customHeight="1" x14ac:dyDescent="0.4">
      <c r="A813" s="30" t="s">
        <v>21</v>
      </c>
      <c r="B813" s="33">
        <v>10</v>
      </c>
      <c r="C813" s="33">
        <v>10</v>
      </c>
      <c r="D813" s="33">
        <v>16</v>
      </c>
      <c r="E813" s="33">
        <v>16</v>
      </c>
      <c r="F813" s="33">
        <v>24</v>
      </c>
      <c r="G813" s="33">
        <f t="shared" si="39"/>
        <v>76</v>
      </c>
      <c r="H813" s="39">
        <v>65.2</v>
      </c>
      <c r="I813" s="31" t="s">
        <v>116</v>
      </c>
      <c r="J813" s="33" t="str">
        <f t="shared" si="40"/>
        <v>A</v>
      </c>
      <c r="K813" s="34" t="str">
        <f t="shared" si="41"/>
        <v>EXCELLENT</v>
      </c>
    </row>
    <row r="814" spans="1:11" s="3" customFormat="1" ht="41.25" customHeight="1" x14ac:dyDescent="0.4">
      <c r="A814" s="30" t="s">
        <v>10</v>
      </c>
      <c r="B814" s="33">
        <v>10</v>
      </c>
      <c r="C814" s="33">
        <v>10</v>
      </c>
      <c r="D814" s="33">
        <v>18</v>
      </c>
      <c r="E814" s="33">
        <v>18</v>
      </c>
      <c r="F814" s="33">
        <v>38</v>
      </c>
      <c r="G814" s="33">
        <f t="shared" si="39"/>
        <v>94</v>
      </c>
      <c r="H814" s="39">
        <v>71.25</v>
      </c>
      <c r="I814" s="33" t="s">
        <v>112</v>
      </c>
      <c r="J814" s="33" t="str">
        <f t="shared" si="40"/>
        <v>A</v>
      </c>
      <c r="K814" s="34" t="str">
        <f t="shared" si="41"/>
        <v>EXCELLENT</v>
      </c>
    </row>
    <row r="815" spans="1:11" s="3" customFormat="1" ht="41.25" customHeight="1" x14ac:dyDescent="0.4">
      <c r="A815" s="30" t="s">
        <v>12</v>
      </c>
      <c r="B815" s="33">
        <v>9</v>
      </c>
      <c r="C815" s="33">
        <v>10</v>
      </c>
      <c r="D815" s="33">
        <v>18</v>
      </c>
      <c r="E815" s="33">
        <v>17</v>
      </c>
      <c r="F815" s="33">
        <v>40</v>
      </c>
      <c r="G815" s="33">
        <f t="shared" si="39"/>
        <v>94</v>
      </c>
      <c r="H815" s="39">
        <v>79.5</v>
      </c>
      <c r="I815" s="31" t="s">
        <v>116</v>
      </c>
      <c r="J815" s="33" t="str">
        <f t="shared" si="40"/>
        <v>A</v>
      </c>
      <c r="K815" s="34" t="str">
        <f t="shared" si="41"/>
        <v>EXCELLENT</v>
      </c>
    </row>
    <row r="816" spans="1:11" s="3" customFormat="1" ht="41.25" customHeight="1" x14ac:dyDescent="0.4">
      <c r="A816" s="30" t="s">
        <v>11</v>
      </c>
      <c r="B816" s="33">
        <v>7</v>
      </c>
      <c r="C816" s="33">
        <v>8</v>
      </c>
      <c r="D816" s="33">
        <v>15</v>
      </c>
      <c r="E816" s="33">
        <v>15</v>
      </c>
      <c r="F816" s="33">
        <v>23</v>
      </c>
      <c r="G816" s="33">
        <f t="shared" si="39"/>
        <v>68</v>
      </c>
      <c r="H816" s="39">
        <v>66.08</v>
      </c>
      <c r="I816" s="33" t="s">
        <v>113</v>
      </c>
      <c r="J816" s="33" t="str">
        <f t="shared" si="40"/>
        <v>B</v>
      </c>
      <c r="K816" s="34" t="str">
        <f t="shared" si="41"/>
        <v>V.GOOD</v>
      </c>
    </row>
    <row r="817" spans="1:11" s="3" customFormat="1" ht="41.25" customHeight="1" x14ac:dyDescent="0.4">
      <c r="A817" s="30" t="s">
        <v>14</v>
      </c>
      <c r="B817" s="33">
        <v>8</v>
      </c>
      <c r="C817" s="33">
        <v>10</v>
      </c>
      <c r="D817" s="33">
        <v>20</v>
      </c>
      <c r="E817" s="33">
        <v>17</v>
      </c>
      <c r="F817" s="33">
        <v>38</v>
      </c>
      <c r="G817" s="33">
        <f t="shared" si="39"/>
        <v>93</v>
      </c>
      <c r="H817" s="39">
        <v>69.5</v>
      </c>
      <c r="I817" s="31" t="s">
        <v>111</v>
      </c>
      <c r="J817" s="33" t="str">
        <f t="shared" si="40"/>
        <v>A</v>
      </c>
      <c r="K817" s="34" t="str">
        <f t="shared" si="41"/>
        <v>EXCELLENT</v>
      </c>
    </row>
    <row r="818" spans="1:11" s="3" customFormat="1" ht="41.25" customHeight="1" x14ac:dyDescent="0.4">
      <c r="A818" s="30" t="s">
        <v>15</v>
      </c>
      <c r="B818" s="33">
        <v>10</v>
      </c>
      <c r="C818" s="33">
        <v>10</v>
      </c>
      <c r="D818" s="33">
        <v>16</v>
      </c>
      <c r="E818" s="33">
        <v>19</v>
      </c>
      <c r="F818" s="33">
        <v>37</v>
      </c>
      <c r="G818" s="33">
        <f t="shared" si="39"/>
        <v>92</v>
      </c>
      <c r="H818" s="39">
        <v>61.75</v>
      </c>
      <c r="I818" s="33" t="s">
        <v>111</v>
      </c>
      <c r="J818" s="33" t="str">
        <f t="shared" si="40"/>
        <v>A</v>
      </c>
      <c r="K818" s="34" t="str">
        <f t="shared" si="41"/>
        <v>EXCELLENT</v>
      </c>
    </row>
    <row r="819" spans="1:11" s="3" customFormat="1" ht="41.25" customHeight="1" x14ac:dyDescent="0.4">
      <c r="A819" s="30" t="s">
        <v>16</v>
      </c>
      <c r="B819" s="33">
        <v>8</v>
      </c>
      <c r="C819" s="33">
        <v>10</v>
      </c>
      <c r="D819" s="33">
        <v>20</v>
      </c>
      <c r="E819" s="33">
        <v>20</v>
      </c>
      <c r="F819" s="33">
        <v>38</v>
      </c>
      <c r="G819" s="33">
        <f t="shared" si="39"/>
        <v>96</v>
      </c>
      <c r="H819" s="39">
        <v>61.17</v>
      </c>
      <c r="I819" s="31" t="s">
        <v>111</v>
      </c>
      <c r="J819" s="33" t="str">
        <f t="shared" si="40"/>
        <v>A</v>
      </c>
      <c r="K819" s="34" t="str">
        <f t="shared" si="41"/>
        <v>EXCELLENT</v>
      </c>
    </row>
    <row r="820" spans="1:11" s="3" customFormat="1" ht="41.25" customHeight="1" x14ac:dyDescent="0.4">
      <c r="A820" s="30" t="s">
        <v>17</v>
      </c>
      <c r="B820" s="33">
        <v>10</v>
      </c>
      <c r="C820" s="33">
        <v>9</v>
      </c>
      <c r="D820" s="33">
        <v>18</v>
      </c>
      <c r="E820" s="33">
        <v>18</v>
      </c>
      <c r="F820" s="33">
        <v>39</v>
      </c>
      <c r="G820" s="33">
        <f t="shared" si="39"/>
        <v>94</v>
      </c>
      <c r="H820" s="39">
        <v>62.6</v>
      </c>
      <c r="I820" s="33" t="s">
        <v>112</v>
      </c>
      <c r="J820" s="33" t="str">
        <f t="shared" si="40"/>
        <v>A</v>
      </c>
      <c r="K820" s="34" t="str">
        <f t="shared" si="41"/>
        <v>EXCELLENT</v>
      </c>
    </row>
    <row r="821" spans="1:11" s="3" customFormat="1" ht="41.25" customHeight="1" x14ac:dyDescent="0.4">
      <c r="A821" s="30" t="s">
        <v>18</v>
      </c>
      <c r="B821" s="33">
        <v>10</v>
      </c>
      <c r="C821" s="33">
        <v>10</v>
      </c>
      <c r="D821" s="33">
        <v>20</v>
      </c>
      <c r="E821" s="33">
        <v>19</v>
      </c>
      <c r="F821" s="33">
        <v>20</v>
      </c>
      <c r="G821" s="33">
        <f t="shared" si="39"/>
        <v>79</v>
      </c>
      <c r="H821" s="39">
        <v>70</v>
      </c>
      <c r="I821" s="31" t="s">
        <v>112</v>
      </c>
      <c r="J821" s="33" t="str">
        <f t="shared" si="40"/>
        <v>A</v>
      </c>
      <c r="K821" s="34" t="str">
        <f t="shared" si="41"/>
        <v>EXCELLENT</v>
      </c>
    </row>
    <row r="822" spans="1:11" s="3" customFormat="1" ht="41.25" customHeight="1" x14ac:dyDescent="0.4">
      <c r="A822" s="30" t="s">
        <v>19</v>
      </c>
      <c r="B822" s="33">
        <v>10</v>
      </c>
      <c r="C822" s="33">
        <v>10</v>
      </c>
      <c r="D822" s="33">
        <v>15</v>
      </c>
      <c r="E822" s="33">
        <v>20</v>
      </c>
      <c r="F822" s="33">
        <v>31</v>
      </c>
      <c r="G822" s="33">
        <f t="shared" si="39"/>
        <v>86</v>
      </c>
      <c r="H822" s="39">
        <v>69.25</v>
      </c>
      <c r="I822" s="33" t="s">
        <v>112</v>
      </c>
      <c r="J822" s="33" t="str">
        <f t="shared" si="40"/>
        <v>A</v>
      </c>
      <c r="K822" s="34" t="str">
        <f t="shared" si="41"/>
        <v>EXCELLENT</v>
      </c>
    </row>
    <row r="823" spans="1:11" s="3" customFormat="1" ht="41.25" customHeight="1" x14ac:dyDescent="0.4">
      <c r="A823" s="30" t="s">
        <v>20</v>
      </c>
      <c r="B823" s="33">
        <v>10</v>
      </c>
      <c r="C823" s="33">
        <v>10</v>
      </c>
      <c r="D823" s="33">
        <v>18</v>
      </c>
      <c r="E823" s="33">
        <v>18</v>
      </c>
      <c r="F823" s="33">
        <v>30</v>
      </c>
      <c r="G823" s="33">
        <f t="shared" si="39"/>
        <v>86</v>
      </c>
      <c r="H823" s="39">
        <v>67</v>
      </c>
      <c r="I823" s="31" t="s">
        <v>112</v>
      </c>
      <c r="J823" s="33" t="str">
        <f t="shared" si="40"/>
        <v>A</v>
      </c>
      <c r="K823" s="34" t="str">
        <f t="shared" si="41"/>
        <v>EXCELLENT</v>
      </c>
    </row>
    <row r="824" spans="1:11" s="3" customFormat="1" ht="41.25" customHeight="1" x14ac:dyDescent="0.4">
      <c r="A824" s="4"/>
      <c r="B824" s="33"/>
      <c r="C824" s="33"/>
      <c r="D824" s="33"/>
      <c r="E824" s="33"/>
      <c r="F824" s="33"/>
      <c r="G824" s="25"/>
      <c r="H824" s="25"/>
      <c r="I824" s="25"/>
      <c r="J824" s="25"/>
      <c r="K824" s="35"/>
    </row>
    <row r="825" spans="1:11" s="3" customFormat="1" ht="41.25" customHeight="1" x14ac:dyDescent="0.4">
      <c r="A825" s="4"/>
      <c r="B825" s="33"/>
      <c r="C825" s="33"/>
      <c r="D825" s="33"/>
      <c r="E825" s="33"/>
      <c r="F825" s="33"/>
      <c r="G825" s="25"/>
      <c r="H825" s="25"/>
      <c r="I825" s="25"/>
      <c r="J825" s="25"/>
      <c r="K825" s="35"/>
    </row>
    <row r="826" spans="1:11" s="3" customFormat="1" ht="31.5" customHeight="1" x14ac:dyDescent="0.35">
      <c r="A826" s="5"/>
    </row>
    <row r="827" spans="1:11" s="3" customFormat="1" ht="31.5" customHeight="1" x14ac:dyDescent="0.45">
      <c r="A827" s="54" t="s">
        <v>58</v>
      </c>
      <c r="B827" s="50">
        <f>SUM(G807:G823)</f>
        <v>1443</v>
      </c>
      <c r="C827" s="40"/>
      <c r="D827" s="40"/>
      <c r="E827" s="54"/>
      <c r="F827" s="83" t="s">
        <v>49</v>
      </c>
      <c r="G827" s="83"/>
      <c r="H827" s="93">
        <f>B827</f>
        <v>1443</v>
      </c>
      <c r="I827" s="93"/>
      <c r="J827" s="92" t="s">
        <v>50</v>
      </c>
      <c r="K827" s="82">
        <f>H827/17</f>
        <v>84.882352941176464</v>
      </c>
    </row>
    <row r="828" spans="1:11" s="3" customFormat="1" ht="31.5" customHeight="1" x14ac:dyDescent="0.45">
      <c r="A828" s="54"/>
      <c r="B828" s="40"/>
      <c r="C828" s="40"/>
      <c r="D828" s="40"/>
      <c r="E828" s="54"/>
      <c r="F828" s="54"/>
      <c r="G828" s="54"/>
      <c r="H828" s="83">
        <v>17</v>
      </c>
      <c r="I828" s="83"/>
      <c r="J828" s="92"/>
      <c r="K828" s="82"/>
    </row>
    <row r="829" spans="1:11" s="3" customFormat="1" ht="31.5" customHeight="1" x14ac:dyDescent="0.35">
      <c r="A829" s="5"/>
      <c r="E829" s="5"/>
      <c r="F829" s="5"/>
      <c r="G829" s="5"/>
      <c r="H829" s="8"/>
      <c r="I829" s="8"/>
      <c r="J829" s="12"/>
      <c r="K829" s="13"/>
    </row>
    <row r="830" spans="1:11" s="3" customFormat="1" ht="33.75" customHeight="1" x14ac:dyDescent="0.35">
      <c r="A830" s="5"/>
      <c r="D830" s="84" t="s">
        <v>30</v>
      </c>
      <c r="E830" s="84"/>
      <c r="F830" s="84"/>
      <c r="G830" s="84"/>
      <c r="H830" s="84"/>
    </row>
    <row r="831" spans="1:11" s="3" customFormat="1" ht="33.75" customHeight="1" x14ac:dyDescent="0.35">
      <c r="A831" s="85" t="s">
        <v>31</v>
      </c>
      <c r="B831" s="86"/>
      <c r="C831" s="87"/>
      <c r="D831" s="41" t="s">
        <v>44</v>
      </c>
      <c r="E831" s="41" t="s">
        <v>45</v>
      </c>
      <c r="F831" s="41" t="s">
        <v>46</v>
      </c>
      <c r="G831" s="41" t="s">
        <v>47</v>
      </c>
      <c r="H831" s="41" t="s">
        <v>48</v>
      </c>
      <c r="I831" s="9"/>
      <c r="J831" s="11" t="s">
        <v>51</v>
      </c>
      <c r="K831" s="5"/>
    </row>
    <row r="832" spans="1:11" s="3" customFormat="1" ht="33.75" customHeight="1" x14ac:dyDescent="0.35">
      <c r="A832" s="88" t="s">
        <v>32</v>
      </c>
      <c r="B832" s="88"/>
      <c r="C832" s="88"/>
      <c r="D832" s="45" t="s">
        <v>124</v>
      </c>
      <c r="E832" s="7"/>
      <c r="F832" s="7"/>
      <c r="G832" s="7"/>
      <c r="H832" s="7"/>
      <c r="I832" s="9"/>
      <c r="J832" s="5" t="s">
        <v>52</v>
      </c>
      <c r="K832" s="5"/>
    </row>
    <row r="833" spans="1:11" s="3" customFormat="1" ht="33.75" customHeight="1" x14ac:dyDescent="0.35">
      <c r="A833" s="88" t="s">
        <v>33</v>
      </c>
      <c r="B833" s="88"/>
      <c r="C833" s="88"/>
      <c r="D833" s="45" t="s">
        <v>124</v>
      </c>
      <c r="E833" s="7"/>
      <c r="F833" s="7"/>
      <c r="G833" s="7"/>
      <c r="H833" s="7"/>
      <c r="I833" s="9"/>
      <c r="J833" s="5" t="s">
        <v>53</v>
      </c>
      <c r="K833" s="5"/>
    </row>
    <row r="834" spans="1:11" s="3" customFormat="1" ht="33.75" customHeight="1" x14ac:dyDescent="0.35">
      <c r="A834" s="88" t="s">
        <v>34</v>
      </c>
      <c r="B834" s="88"/>
      <c r="C834" s="88"/>
      <c r="D834" s="45" t="s">
        <v>124</v>
      </c>
      <c r="E834" s="7"/>
      <c r="F834" s="7"/>
      <c r="G834" s="7"/>
      <c r="H834" s="7"/>
      <c r="I834" s="9"/>
      <c r="J834" s="5" t="s">
        <v>54</v>
      </c>
      <c r="K834" s="5"/>
    </row>
    <row r="835" spans="1:11" s="3" customFormat="1" ht="33.75" customHeight="1" x14ac:dyDescent="0.35">
      <c r="A835" s="88" t="s">
        <v>35</v>
      </c>
      <c r="B835" s="88"/>
      <c r="C835" s="88"/>
      <c r="D835" s="45" t="s">
        <v>124</v>
      </c>
      <c r="E835" s="7"/>
      <c r="F835" s="7"/>
      <c r="G835" s="7"/>
      <c r="H835" s="7"/>
      <c r="I835" s="9"/>
      <c r="J835" s="5" t="s">
        <v>55</v>
      </c>
      <c r="K835" s="5"/>
    </row>
    <row r="836" spans="1:11" s="3" customFormat="1" ht="33.75" customHeight="1" x14ac:dyDescent="0.35">
      <c r="A836" s="88" t="s">
        <v>36</v>
      </c>
      <c r="B836" s="88"/>
      <c r="C836" s="88"/>
      <c r="D836" s="45" t="s">
        <v>124</v>
      </c>
      <c r="E836" s="7"/>
      <c r="F836" s="7"/>
      <c r="G836" s="7"/>
      <c r="H836" s="7"/>
      <c r="I836" s="9"/>
      <c r="J836" s="5" t="s">
        <v>56</v>
      </c>
      <c r="K836" s="5"/>
    </row>
    <row r="837" spans="1:11" s="3" customFormat="1" ht="33.75" customHeight="1" x14ac:dyDescent="0.35">
      <c r="A837" s="88" t="s">
        <v>37</v>
      </c>
      <c r="B837" s="88"/>
      <c r="C837" s="88"/>
      <c r="D837" s="45" t="s">
        <v>124</v>
      </c>
      <c r="E837" s="7"/>
      <c r="F837" s="7"/>
      <c r="G837" s="7"/>
      <c r="H837" s="7"/>
      <c r="I837" s="9"/>
      <c r="J837" s="5" t="s">
        <v>57</v>
      </c>
      <c r="K837" s="5"/>
    </row>
    <row r="838" spans="1:11" s="3" customFormat="1" ht="33.75" customHeight="1" x14ac:dyDescent="0.35">
      <c r="A838" s="88" t="s">
        <v>38</v>
      </c>
      <c r="B838" s="88"/>
      <c r="C838" s="88"/>
      <c r="D838" s="45" t="s">
        <v>124</v>
      </c>
      <c r="E838" s="7"/>
      <c r="F838" s="7"/>
      <c r="G838" s="7"/>
      <c r="H838" s="7"/>
      <c r="I838" s="9"/>
    </row>
    <row r="839" spans="1:11" s="3" customFormat="1" ht="33.75" customHeight="1" x14ac:dyDescent="0.35">
      <c r="A839" s="88" t="s">
        <v>39</v>
      </c>
      <c r="B839" s="88"/>
      <c r="C839" s="88"/>
      <c r="D839" s="45" t="s">
        <v>124</v>
      </c>
      <c r="E839" s="7"/>
      <c r="F839" s="7"/>
      <c r="G839" s="7"/>
      <c r="H839" s="7"/>
      <c r="I839" s="9"/>
    </row>
    <row r="840" spans="1:11" s="3" customFormat="1" ht="33.75" customHeight="1" x14ac:dyDescent="0.35">
      <c r="A840" s="88" t="s">
        <v>40</v>
      </c>
      <c r="B840" s="88"/>
      <c r="C840" s="88"/>
      <c r="D840" s="45" t="s">
        <v>124</v>
      </c>
      <c r="E840" s="7"/>
      <c r="F840" s="7"/>
      <c r="G840" s="7"/>
      <c r="H840" s="7"/>
      <c r="I840" s="9"/>
    </row>
    <row r="841" spans="1:11" s="3" customFormat="1" ht="33.75" customHeight="1" x14ac:dyDescent="0.35">
      <c r="A841" s="88" t="s">
        <v>41</v>
      </c>
      <c r="B841" s="88"/>
      <c r="C841" s="88"/>
      <c r="D841" s="45" t="s">
        <v>124</v>
      </c>
      <c r="E841" s="7"/>
      <c r="F841" s="7"/>
      <c r="G841" s="7"/>
      <c r="H841" s="7"/>
      <c r="I841" s="9"/>
    </row>
    <row r="842" spans="1:11" s="3" customFormat="1" ht="33.75" customHeight="1" x14ac:dyDescent="0.35">
      <c r="A842" s="88" t="s">
        <v>42</v>
      </c>
      <c r="B842" s="88"/>
      <c r="C842" s="88"/>
      <c r="D842" s="45"/>
      <c r="E842" s="45" t="s">
        <v>124</v>
      </c>
      <c r="F842" s="7"/>
      <c r="G842" s="7"/>
      <c r="H842" s="7"/>
      <c r="I842" s="9"/>
    </row>
    <row r="843" spans="1:11" s="3" customFormat="1" ht="33.75" customHeight="1" x14ac:dyDescent="0.35">
      <c r="A843" s="88" t="s">
        <v>43</v>
      </c>
      <c r="B843" s="88"/>
      <c r="C843" s="88"/>
      <c r="D843" s="45" t="s">
        <v>124</v>
      </c>
      <c r="E843" s="45"/>
      <c r="F843" s="7"/>
      <c r="G843" s="7"/>
      <c r="H843" s="7"/>
      <c r="I843" s="9"/>
    </row>
    <row r="844" spans="1:11" ht="50.25" customHeight="1" x14ac:dyDescent="0.25"/>
    <row r="845" spans="1:11" s="15" customFormat="1" ht="31.5" customHeight="1" x14ac:dyDescent="0.4">
      <c r="A845" s="17" t="s">
        <v>78</v>
      </c>
      <c r="B845" s="17"/>
      <c r="C845" s="98" t="s">
        <v>79</v>
      </c>
      <c r="D845" s="98"/>
      <c r="E845" s="98"/>
      <c r="F845" s="98"/>
      <c r="G845" s="98"/>
      <c r="H845" s="98"/>
      <c r="I845" s="98"/>
      <c r="J845" s="98"/>
      <c r="K845" s="16"/>
    </row>
    <row r="846" spans="1:11" s="15" customFormat="1" ht="42.75" customHeight="1" x14ac:dyDescent="0.4">
      <c r="A846" s="17" t="s">
        <v>80</v>
      </c>
      <c r="B846" s="17"/>
      <c r="C846" s="95" t="s">
        <v>107</v>
      </c>
      <c r="D846" s="95"/>
      <c r="E846" s="95"/>
      <c r="F846" s="95"/>
      <c r="G846" s="95"/>
      <c r="H846" s="95"/>
      <c r="I846" s="16"/>
      <c r="J846" s="16"/>
      <c r="K846" s="16"/>
    </row>
    <row r="847" spans="1:11" s="15" customFormat="1" ht="31.5" customHeight="1" x14ac:dyDescent="0.4">
      <c r="A847" s="17"/>
      <c r="B847" s="17"/>
      <c r="C847" s="18"/>
      <c r="D847" s="18"/>
      <c r="E847" s="18"/>
      <c r="F847" s="18"/>
      <c r="G847" s="18"/>
      <c r="H847" s="18"/>
      <c r="I847" s="16"/>
      <c r="J847" s="16"/>
      <c r="K847" s="16"/>
    </row>
    <row r="848" spans="1:11" s="15" customFormat="1" ht="31.5" customHeight="1" x14ac:dyDescent="0.4">
      <c r="A848" s="17" t="s">
        <v>81</v>
      </c>
      <c r="B848" s="17"/>
      <c r="C848" s="98" t="s">
        <v>79</v>
      </c>
      <c r="D848" s="98"/>
      <c r="E848" s="98"/>
      <c r="F848" s="98"/>
      <c r="G848" s="98"/>
      <c r="H848" s="98"/>
      <c r="I848" s="98"/>
      <c r="J848" s="98"/>
      <c r="K848" s="16"/>
    </row>
    <row r="849" spans="1:11" s="15" customFormat="1" ht="46.5" customHeight="1" x14ac:dyDescent="0.4">
      <c r="A849" s="17" t="s">
        <v>80</v>
      </c>
      <c r="B849" s="17"/>
      <c r="C849" s="95" t="s">
        <v>107</v>
      </c>
      <c r="D849" s="95"/>
      <c r="E849" s="95"/>
      <c r="F849" s="95"/>
      <c r="G849" s="95"/>
      <c r="H849" s="95"/>
      <c r="I849" s="16"/>
      <c r="J849" s="16"/>
      <c r="K849" s="16"/>
    </row>
    <row r="851" spans="1:11" ht="66" customHeight="1" x14ac:dyDescent="0.25">
      <c r="A851" s="62" t="s">
        <v>0</v>
      </c>
      <c r="B851" s="62"/>
      <c r="C851" s="62"/>
      <c r="D851" s="62"/>
      <c r="E851" s="62"/>
      <c r="F851" s="62"/>
      <c r="G851" s="62"/>
      <c r="H851" s="62"/>
      <c r="I851" s="62"/>
      <c r="J851" s="62"/>
      <c r="K851" s="62"/>
    </row>
    <row r="852" spans="1:11" ht="27.75" customHeight="1" x14ac:dyDescent="0.3">
      <c r="A852" s="63" t="s">
        <v>1</v>
      </c>
      <c r="B852" s="63"/>
      <c r="C852" s="63"/>
      <c r="D852" s="63"/>
      <c r="E852" s="63"/>
      <c r="F852" s="63"/>
      <c r="G852" s="63"/>
      <c r="H852" s="63"/>
      <c r="I852" s="63"/>
      <c r="J852" s="63"/>
      <c r="K852" s="63"/>
    </row>
    <row r="853" spans="1:11" ht="46.5" customHeight="1" x14ac:dyDescent="0.25">
      <c r="A853" s="64" t="s">
        <v>2</v>
      </c>
      <c r="B853" s="64"/>
      <c r="C853" s="64"/>
      <c r="D853" s="64"/>
      <c r="E853" s="64"/>
      <c r="F853" s="64"/>
      <c r="G853" s="64"/>
      <c r="H853" s="64"/>
      <c r="I853" s="64"/>
      <c r="J853" s="64"/>
      <c r="K853" s="64"/>
    </row>
    <row r="854" spans="1:11" ht="39" customHeight="1" x14ac:dyDescent="0.55000000000000004">
      <c r="A854" s="65" t="s">
        <v>3</v>
      </c>
      <c r="B854" s="65"/>
      <c r="C854" s="65"/>
      <c r="D854" s="65"/>
      <c r="E854" s="65"/>
      <c r="F854" s="65"/>
      <c r="G854" s="65"/>
      <c r="H854" s="65"/>
      <c r="I854" s="65"/>
      <c r="J854" s="65"/>
      <c r="K854" s="65"/>
    </row>
    <row r="855" spans="1:11" ht="31.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s="20" customFormat="1" ht="31.5" customHeight="1" x14ac:dyDescent="0.4">
      <c r="A856" s="19" t="s">
        <v>60</v>
      </c>
      <c r="B856" s="59" t="s">
        <v>101</v>
      </c>
      <c r="C856" s="59"/>
      <c r="D856" s="59"/>
      <c r="E856" s="59"/>
      <c r="F856" s="59"/>
      <c r="G856" s="19" t="s">
        <v>59</v>
      </c>
      <c r="H856" s="47" t="s">
        <v>102</v>
      </c>
      <c r="I856" s="19" t="s">
        <v>75</v>
      </c>
      <c r="J856" s="59" t="s">
        <v>91</v>
      </c>
      <c r="K856" s="59"/>
    </row>
    <row r="857" spans="1:11" s="20" customFormat="1" ht="31.5" customHeight="1" x14ac:dyDescent="0.4">
      <c r="A857" s="19" t="s">
        <v>61</v>
      </c>
      <c r="B857" s="59"/>
      <c r="C857" s="59"/>
      <c r="D857" s="19" t="s">
        <v>68</v>
      </c>
      <c r="E857" s="59"/>
      <c r="F857" s="59"/>
      <c r="G857" s="59"/>
      <c r="H857" s="59"/>
      <c r="I857" s="19" t="s">
        <v>69</v>
      </c>
      <c r="J857" s="59" t="s">
        <v>90</v>
      </c>
      <c r="K857" s="59"/>
    </row>
    <row r="858" spans="1:11" s="20" customFormat="1" ht="35.25" customHeight="1" x14ac:dyDescent="0.4">
      <c r="A858" s="19" t="s">
        <v>63</v>
      </c>
      <c r="B858" s="47" t="s">
        <v>64</v>
      </c>
      <c r="C858" s="47"/>
      <c r="D858" s="47"/>
      <c r="E858" s="55"/>
      <c r="F858" s="19" t="s">
        <v>62</v>
      </c>
      <c r="H858" s="47">
        <v>12</v>
      </c>
      <c r="I858" s="19" t="s">
        <v>70</v>
      </c>
      <c r="J858" s="59"/>
      <c r="K858" s="59"/>
    </row>
    <row r="859" spans="1:11" s="20" customFormat="1" ht="39" customHeight="1" x14ac:dyDescent="0.4">
      <c r="A859" s="19" t="s">
        <v>71</v>
      </c>
      <c r="B859" s="21" t="s">
        <v>86</v>
      </c>
      <c r="C859" s="21"/>
      <c r="D859" s="21"/>
      <c r="E859" s="21"/>
      <c r="F859" s="19" t="s">
        <v>73</v>
      </c>
      <c r="G859" s="19"/>
      <c r="H859" s="24" t="s">
        <v>87</v>
      </c>
      <c r="I859" s="21"/>
      <c r="J859" s="21"/>
      <c r="K859" s="21"/>
    </row>
    <row r="860" spans="1:11" s="20" customFormat="1" ht="39.75" customHeight="1" x14ac:dyDescent="0.4">
      <c r="A860" s="19" t="s">
        <v>72</v>
      </c>
      <c r="B860" s="21"/>
      <c r="C860" s="60"/>
      <c r="D860" s="60"/>
      <c r="E860" s="60"/>
      <c r="F860" s="19" t="s">
        <v>74</v>
      </c>
      <c r="G860" s="19"/>
      <c r="H860" s="61"/>
      <c r="I860" s="61"/>
      <c r="J860" s="61"/>
      <c r="K860" s="61"/>
    </row>
    <row r="861" spans="1:11" s="20" customFormat="1" ht="21" customHeight="1" x14ac:dyDescent="0.4">
      <c r="A861" s="19"/>
      <c r="B861" s="21"/>
      <c r="C861" s="51"/>
      <c r="D861" s="51"/>
      <c r="E861" s="51"/>
      <c r="F861" s="19"/>
      <c r="G861" s="19"/>
      <c r="H861" s="52"/>
      <c r="I861" s="52"/>
      <c r="J861" s="52"/>
      <c r="K861" s="52"/>
    </row>
    <row r="862" spans="1:11" s="14" customFormat="1" ht="36.75" customHeight="1" x14ac:dyDescent="0.45">
      <c r="A862" s="15"/>
      <c r="B862" s="67" t="s">
        <v>5</v>
      </c>
      <c r="C862" s="67"/>
      <c r="D862" s="67"/>
      <c r="E862" s="67"/>
      <c r="F862" s="67"/>
      <c r="G862" s="67"/>
      <c r="H862" s="67"/>
      <c r="I862" s="67"/>
      <c r="J862" s="67"/>
      <c r="K862" s="67"/>
    </row>
    <row r="863" spans="1:11" s="14" customFormat="1" ht="31.5" customHeight="1" x14ac:dyDescent="0.4">
      <c r="B863" s="68" t="s">
        <v>22</v>
      </c>
      <c r="C863" s="69"/>
      <c r="D863" s="69"/>
      <c r="E863" s="69"/>
      <c r="F863" s="49" t="s">
        <v>24</v>
      </c>
      <c r="G863" s="70" t="s">
        <v>25</v>
      </c>
      <c r="H863" s="72" t="s">
        <v>27</v>
      </c>
      <c r="I863" s="75" t="s">
        <v>66</v>
      </c>
      <c r="J863" s="76"/>
      <c r="K863" s="76" t="s">
        <v>29</v>
      </c>
    </row>
    <row r="864" spans="1:11" s="14" customFormat="1" ht="31.5" customHeight="1" x14ac:dyDescent="0.4">
      <c r="B864" s="68" t="s">
        <v>76</v>
      </c>
      <c r="C864" s="79"/>
      <c r="D864" s="26" t="s">
        <v>77</v>
      </c>
      <c r="E864" s="27" t="s">
        <v>77</v>
      </c>
      <c r="F864" s="28" t="s">
        <v>23</v>
      </c>
      <c r="G864" s="71"/>
      <c r="H864" s="73"/>
      <c r="I864" s="75"/>
      <c r="J864" s="77"/>
      <c r="K864" s="77"/>
    </row>
    <row r="865" spans="1:11" s="14" customFormat="1" ht="31.5" customHeight="1" x14ac:dyDescent="0.4">
      <c r="B865" s="80">
        <v>0.1</v>
      </c>
      <c r="C865" s="80">
        <v>0.1</v>
      </c>
      <c r="D865" s="80">
        <v>0.2</v>
      </c>
      <c r="E865" s="80">
        <v>0.2</v>
      </c>
      <c r="F865" s="90">
        <v>0.4</v>
      </c>
      <c r="G865" s="53" t="s">
        <v>26</v>
      </c>
      <c r="H865" s="74"/>
      <c r="I865" s="70"/>
      <c r="J865" s="77"/>
      <c r="K865" s="77"/>
    </row>
    <row r="866" spans="1:11" s="14" customFormat="1" ht="31.5" customHeight="1" x14ac:dyDescent="0.4">
      <c r="A866" s="23" t="s">
        <v>4</v>
      </c>
      <c r="B866" s="81"/>
      <c r="C866" s="81"/>
      <c r="D866" s="81"/>
      <c r="E866" s="81"/>
      <c r="F866" s="91"/>
      <c r="G866" s="29">
        <v>1</v>
      </c>
      <c r="H866" s="28" t="s">
        <v>28</v>
      </c>
      <c r="I866" s="43" t="s">
        <v>65</v>
      </c>
      <c r="J866" s="48" t="s">
        <v>67</v>
      </c>
      <c r="K866" s="78"/>
    </row>
    <row r="867" spans="1:11" s="3" customFormat="1" ht="41.25" customHeight="1" x14ac:dyDescent="0.4">
      <c r="A867" s="30" t="s">
        <v>6</v>
      </c>
      <c r="B867" s="33">
        <v>5</v>
      </c>
      <c r="C867" s="33">
        <v>8</v>
      </c>
      <c r="D867" s="33">
        <v>9</v>
      </c>
      <c r="E867" s="33">
        <v>8</v>
      </c>
      <c r="F867" s="33">
        <v>18</v>
      </c>
      <c r="G867" s="31">
        <f t="shared" ref="G867:G883" si="42">SUM(B867:F867)</f>
        <v>48</v>
      </c>
      <c r="H867" s="38">
        <v>60</v>
      </c>
      <c r="I867" s="31" t="s">
        <v>122</v>
      </c>
      <c r="J867" s="33" t="str">
        <f>IF(G867&gt;=70,"A",IF(G867&gt;=60,"B",IF(G867&gt;=50,"C",IF(G867&gt;=45,"D",IF(G867&gt;=40,"E",IF(G867&lt;=39,"F"))))))</f>
        <v>D</v>
      </c>
      <c r="K867" s="34" t="str">
        <f>IF(G867&gt;=70,"EXCELLENT",IF(G867&gt;=60,"V.GOOD",IF(G867&gt;=50,"GOOD",IF(G867&gt;=45,"PASS",IF(G867&gt;=40,"FAIR",IF(G867&lt;=39,"FAIL"))))))</f>
        <v>PASS</v>
      </c>
    </row>
    <row r="868" spans="1:11" s="3" customFormat="1" ht="41.25" customHeight="1" x14ac:dyDescent="0.4">
      <c r="A868" s="30" t="s">
        <v>7</v>
      </c>
      <c r="B868" s="33">
        <v>8</v>
      </c>
      <c r="C868" s="33">
        <v>6</v>
      </c>
      <c r="D868" s="33">
        <v>8</v>
      </c>
      <c r="E868" s="33">
        <v>8</v>
      </c>
      <c r="F868" s="33">
        <v>14</v>
      </c>
      <c r="G868" s="33">
        <f t="shared" si="42"/>
        <v>44</v>
      </c>
      <c r="H868" s="39">
        <v>58.9</v>
      </c>
      <c r="I868" s="33" t="s">
        <v>120</v>
      </c>
      <c r="J868" s="33" t="str">
        <f t="shared" ref="J868:J883" si="43">IF(G868&gt;=70,"A",IF(G868&gt;=60,"B",IF(G868&gt;=50,"C",IF(G868&gt;=45,"D",IF(G868&gt;=40,"E",IF(G868&lt;=39,"F"))))))</f>
        <v>E</v>
      </c>
      <c r="K868" s="34" t="str">
        <f t="shared" ref="K868:K883" si="44">IF(G868&gt;=70,"EXCELLENT",IF(G868&gt;=60,"V.GOOD",IF(G868&gt;=50,"GOOD",IF(G868&gt;=45,"PASS",IF(G868&gt;=40,"FAIR",IF(G868&lt;=39,"FAIL"))))))</f>
        <v>FAIR</v>
      </c>
    </row>
    <row r="869" spans="1:11" s="3" customFormat="1" ht="41.25" customHeight="1" x14ac:dyDescent="0.4">
      <c r="A869" s="30" t="s">
        <v>8</v>
      </c>
      <c r="B869" s="33">
        <v>6</v>
      </c>
      <c r="C869" s="33">
        <v>4</v>
      </c>
      <c r="D869" s="33">
        <v>10</v>
      </c>
      <c r="E869" s="33">
        <v>10</v>
      </c>
      <c r="F869" s="33">
        <v>30</v>
      </c>
      <c r="G869" s="33">
        <f t="shared" si="42"/>
        <v>60</v>
      </c>
      <c r="H869" s="39">
        <v>51.8</v>
      </c>
      <c r="I869" s="33" t="s">
        <v>112</v>
      </c>
      <c r="J869" s="33" t="str">
        <f t="shared" si="43"/>
        <v>B</v>
      </c>
      <c r="K869" s="34" t="str">
        <f t="shared" si="44"/>
        <v>V.GOOD</v>
      </c>
    </row>
    <row r="870" spans="1:11" s="3" customFormat="1" ht="41.25" customHeight="1" x14ac:dyDescent="0.4">
      <c r="A870" s="30" t="s">
        <v>13</v>
      </c>
      <c r="B870" s="33">
        <v>10</v>
      </c>
      <c r="C870" s="33">
        <v>10</v>
      </c>
      <c r="D870" s="33">
        <v>14</v>
      </c>
      <c r="E870" s="33">
        <v>15</v>
      </c>
      <c r="F870" s="33">
        <v>27</v>
      </c>
      <c r="G870" s="33">
        <f t="shared" si="42"/>
        <v>76</v>
      </c>
      <c r="H870" s="39">
        <v>72.599999999999994</v>
      </c>
      <c r="I870" s="33" t="s">
        <v>115</v>
      </c>
      <c r="J870" s="33" t="str">
        <f t="shared" si="43"/>
        <v>A</v>
      </c>
      <c r="K870" s="34" t="str">
        <f t="shared" si="44"/>
        <v>EXCELLENT</v>
      </c>
    </row>
    <row r="871" spans="1:11" s="3" customFormat="1" ht="41.25" customHeight="1" x14ac:dyDescent="0.4">
      <c r="A871" s="30" t="s">
        <v>9</v>
      </c>
      <c r="B871" s="33">
        <v>6</v>
      </c>
      <c r="C871" s="33">
        <v>10</v>
      </c>
      <c r="D871" s="33">
        <v>8</v>
      </c>
      <c r="E871" s="33">
        <v>10</v>
      </c>
      <c r="F871" s="33">
        <v>33</v>
      </c>
      <c r="G871" s="33">
        <f t="shared" si="42"/>
        <v>67</v>
      </c>
      <c r="H871" s="39">
        <v>71.400000000000006</v>
      </c>
      <c r="I871" s="33" t="s">
        <v>119</v>
      </c>
      <c r="J871" s="33" t="str">
        <f t="shared" si="43"/>
        <v>B</v>
      </c>
      <c r="K871" s="34" t="str">
        <f t="shared" si="44"/>
        <v>V.GOOD</v>
      </c>
    </row>
    <row r="872" spans="1:11" s="3" customFormat="1" ht="41.25" customHeight="1" x14ac:dyDescent="0.4">
      <c r="A872" s="30" t="s">
        <v>82</v>
      </c>
      <c r="B872" s="33">
        <v>5</v>
      </c>
      <c r="C872" s="33">
        <v>5</v>
      </c>
      <c r="D872" s="33">
        <v>3</v>
      </c>
      <c r="E872" s="33">
        <v>6</v>
      </c>
      <c r="F872" s="33">
        <v>19</v>
      </c>
      <c r="G872" s="33">
        <f t="shared" si="42"/>
        <v>38</v>
      </c>
      <c r="H872" s="39">
        <v>54.7</v>
      </c>
      <c r="I872" s="33" t="s">
        <v>122</v>
      </c>
      <c r="J872" s="33" t="str">
        <f t="shared" si="43"/>
        <v>F</v>
      </c>
      <c r="K872" s="34" t="str">
        <f t="shared" si="44"/>
        <v>FAIL</v>
      </c>
    </row>
    <row r="873" spans="1:11" s="3" customFormat="1" ht="41.25" customHeight="1" x14ac:dyDescent="0.4">
      <c r="A873" s="30" t="s">
        <v>21</v>
      </c>
      <c r="B873" s="33">
        <v>10</v>
      </c>
      <c r="C873" s="33">
        <v>9</v>
      </c>
      <c r="D873" s="33">
        <v>10</v>
      </c>
      <c r="E873" s="33">
        <v>8</v>
      </c>
      <c r="F873" s="33">
        <v>23</v>
      </c>
      <c r="G873" s="33">
        <f t="shared" si="42"/>
        <v>60</v>
      </c>
      <c r="H873" s="39">
        <v>65.2</v>
      </c>
      <c r="I873" s="33" t="s">
        <v>118</v>
      </c>
      <c r="J873" s="33" t="str">
        <f t="shared" si="43"/>
        <v>B</v>
      </c>
      <c r="K873" s="34" t="str">
        <f t="shared" si="44"/>
        <v>V.GOOD</v>
      </c>
    </row>
    <row r="874" spans="1:11" s="3" customFormat="1" ht="41.25" customHeight="1" x14ac:dyDescent="0.4">
      <c r="A874" s="30" t="s">
        <v>10</v>
      </c>
      <c r="B874" s="33">
        <v>7</v>
      </c>
      <c r="C874" s="33">
        <v>7</v>
      </c>
      <c r="D874" s="33">
        <v>11</v>
      </c>
      <c r="E874" s="33">
        <v>12</v>
      </c>
      <c r="F874" s="33">
        <v>25</v>
      </c>
      <c r="G874" s="33">
        <f t="shared" si="42"/>
        <v>62</v>
      </c>
      <c r="H874" s="39">
        <v>71.25</v>
      </c>
      <c r="I874" s="33" t="s">
        <v>119</v>
      </c>
      <c r="J874" s="33" t="str">
        <f t="shared" si="43"/>
        <v>B</v>
      </c>
      <c r="K874" s="34" t="str">
        <f t="shared" si="44"/>
        <v>V.GOOD</v>
      </c>
    </row>
    <row r="875" spans="1:11" s="3" customFormat="1" ht="41.25" customHeight="1" x14ac:dyDescent="0.4">
      <c r="A875" s="30" t="s">
        <v>12</v>
      </c>
      <c r="B875" s="33">
        <v>4</v>
      </c>
      <c r="C875" s="33">
        <v>8</v>
      </c>
      <c r="D875" s="33">
        <v>7</v>
      </c>
      <c r="E875" s="33">
        <v>7</v>
      </c>
      <c r="F875" s="33">
        <v>29</v>
      </c>
      <c r="G875" s="33">
        <f t="shared" si="42"/>
        <v>55</v>
      </c>
      <c r="H875" s="39">
        <v>79.5</v>
      </c>
      <c r="I875" s="33" t="s">
        <v>122</v>
      </c>
      <c r="J875" s="33" t="str">
        <f t="shared" si="43"/>
        <v>C</v>
      </c>
      <c r="K875" s="34" t="str">
        <f t="shared" si="44"/>
        <v>GOOD</v>
      </c>
    </row>
    <row r="876" spans="1:11" s="3" customFormat="1" ht="41.25" customHeight="1" x14ac:dyDescent="0.4">
      <c r="A876" s="30" t="s">
        <v>11</v>
      </c>
      <c r="B876" s="33">
        <v>8</v>
      </c>
      <c r="C876" s="33">
        <v>7</v>
      </c>
      <c r="D876" s="33">
        <v>15</v>
      </c>
      <c r="E876" s="33">
        <v>15</v>
      </c>
      <c r="F876" s="33">
        <v>23</v>
      </c>
      <c r="G876" s="33">
        <f t="shared" si="42"/>
        <v>68</v>
      </c>
      <c r="H876" s="39">
        <v>66.08</v>
      </c>
      <c r="I876" s="33" t="s">
        <v>113</v>
      </c>
      <c r="J876" s="33" t="str">
        <f t="shared" si="43"/>
        <v>B</v>
      </c>
      <c r="K876" s="34" t="str">
        <f t="shared" si="44"/>
        <v>V.GOOD</v>
      </c>
    </row>
    <row r="877" spans="1:11" s="3" customFormat="1" ht="41.25" customHeight="1" x14ac:dyDescent="0.4">
      <c r="A877" s="30" t="s">
        <v>14</v>
      </c>
      <c r="B877" s="33">
        <v>3</v>
      </c>
      <c r="C877" s="33">
        <v>10</v>
      </c>
      <c r="D877" s="33">
        <v>11</v>
      </c>
      <c r="E877" s="33">
        <v>6</v>
      </c>
      <c r="F877" s="33">
        <v>31</v>
      </c>
      <c r="G877" s="33">
        <f t="shared" si="42"/>
        <v>61</v>
      </c>
      <c r="H877" s="39">
        <v>69.5</v>
      </c>
      <c r="I877" s="33" t="s">
        <v>122</v>
      </c>
      <c r="J877" s="33" t="str">
        <f t="shared" si="43"/>
        <v>B</v>
      </c>
      <c r="K877" s="34" t="str">
        <f t="shared" si="44"/>
        <v>V.GOOD</v>
      </c>
    </row>
    <row r="878" spans="1:11" s="3" customFormat="1" ht="41.25" customHeight="1" x14ac:dyDescent="0.4">
      <c r="A878" s="30" t="s">
        <v>15</v>
      </c>
      <c r="B878" s="33">
        <v>7</v>
      </c>
      <c r="C878" s="33">
        <v>8</v>
      </c>
      <c r="D878" s="33">
        <v>4</v>
      </c>
      <c r="E878" s="33">
        <v>6</v>
      </c>
      <c r="F878" s="33">
        <v>25</v>
      </c>
      <c r="G878" s="33">
        <f t="shared" si="42"/>
        <v>50</v>
      </c>
      <c r="H878" s="39">
        <v>61.75</v>
      </c>
      <c r="I878" s="33" t="s">
        <v>120</v>
      </c>
      <c r="J878" s="33" t="str">
        <f t="shared" si="43"/>
        <v>C</v>
      </c>
      <c r="K878" s="34" t="str">
        <f t="shared" si="44"/>
        <v>GOOD</v>
      </c>
    </row>
    <row r="879" spans="1:11" s="3" customFormat="1" ht="41.25" customHeight="1" x14ac:dyDescent="0.4">
      <c r="A879" s="30" t="s">
        <v>16</v>
      </c>
      <c r="B879" s="33">
        <v>8</v>
      </c>
      <c r="C879" s="33">
        <v>8</v>
      </c>
      <c r="D879" s="33">
        <v>14</v>
      </c>
      <c r="E879" s="33">
        <v>7</v>
      </c>
      <c r="F879" s="33">
        <v>25</v>
      </c>
      <c r="G879" s="33">
        <f t="shared" si="42"/>
        <v>62</v>
      </c>
      <c r="H879" s="39">
        <v>61.17</v>
      </c>
      <c r="I879" s="33" t="s">
        <v>117</v>
      </c>
      <c r="J879" s="33" t="str">
        <f t="shared" si="43"/>
        <v>B</v>
      </c>
      <c r="K879" s="34" t="str">
        <f t="shared" si="44"/>
        <v>V.GOOD</v>
      </c>
    </row>
    <row r="880" spans="1:11" s="3" customFormat="1" ht="41.25" customHeight="1" x14ac:dyDescent="0.4">
      <c r="A880" s="30" t="s">
        <v>17</v>
      </c>
      <c r="B880" s="33">
        <v>10</v>
      </c>
      <c r="C880" s="33">
        <v>7</v>
      </c>
      <c r="D880" s="33">
        <v>15</v>
      </c>
      <c r="E880" s="33">
        <v>15</v>
      </c>
      <c r="F880" s="33">
        <v>16</v>
      </c>
      <c r="G880" s="33">
        <f t="shared" si="42"/>
        <v>63</v>
      </c>
      <c r="H880" s="39">
        <v>62.6</v>
      </c>
      <c r="I880" s="33" t="s">
        <v>113</v>
      </c>
      <c r="J880" s="33" t="str">
        <f t="shared" si="43"/>
        <v>B</v>
      </c>
      <c r="K880" s="34" t="str">
        <f t="shared" si="44"/>
        <v>V.GOOD</v>
      </c>
    </row>
    <row r="881" spans="1:11" s="3" customFormat="1" ht="41.25" customHeight="1" x14ac:dyDescent="0.4">
      <c r="A881" s="30" t="s">
        <v>18</v>
      </c>
      <c r="B881" s="33">
        <v>10</v>
      </c>
      <c r="C881" s="33">
        <v>10</v>
      </c>
      <c r="D881" s="33">
        <v>6</v>
      </c>
      <c r="E881" s="33">
        <v>12</v>
      </c>
      <c r="F881" s="33">
        <v>28</v>
      </c>
      <c r="G881" s="33">
        <f t="shared" si="42"/>
        <v>66</v>
      </c>
      <c r="H881" s="39">
        <v>70</v>
      </c>
      <c r="I881" s="33" t="s">
        <v>117</v>
      </c>
      <c r="J881" s="33" t="str">
        <f t="shared" si="43"/>
        <v>B</v>
      </c>
      <c r="K881" s="34" t="str">
        <f t="shared" si="44"/>
        <v>V.GOOD</v>
      </c>
    </row>
    <row r="882" spans="1:11" s="3" customFormat="1" ht="41.25" customHeight="1" x14ac:dyDescent="0.4">
      <c r="A882" s="30" t="s">
        <v>19</v>
      </c>
      <c r="B882" s="33">
        <v>7</v>
      </c>
      <c r="C882" s="33">
        <v>9</v>
      </c>
      <c r="D882" s="33">
        <v>4</v>
      </c>
      <c r="E882" s="33">
        <v>12</v>
      </c>
      <c r="F882" s="33">
        <v>26</v>
      </c>
      <c r="G882" s="33">
        <f t="shared" si="42"/>
        <v>58</v>
      </c>
      <c r="H882" s="39">
        <v>69.25</v>
      </c>
      <c r="I882" s="33" t="s">
        <v>120</v>
      </c>
      <c r="J882" s="33" t="str">
        <f t="shared" si="43"/>
        <v>C</v>
      </c>
      <c r="K882" s="34" t="str">
        <f t="shared" si="44"/>
        <v>GOOD</v>
      </c>
    </row>
    <row r="883" spans="1:11" s="3" customFormat="1" ht="41.25" customHeight="1" x14ac:dyDescent="0.4">
      <c r="A883" s="30" t="s">
        <v>20</v>
      </c>
      <c r="B883" s="33">
        <v>10</v>
      </c>
      <c r="C883" s="33">
        <v>10</v>
      </c>
      <c r="D883" s="33">
        <v>8</v>
      </c>
      <c r="E883" s="33">
        <v>11</v>
      </c>
      <c r="F883" s="33">
        <v>20</v>
      </c>
      <c r="G883" s="33">
        <f t="shared" si="42"/>
        <v>59</v>
      </c>
      <c r="H883" s="39">
        <v>67</v>
      </c>
      <c r="I883" s="33" t="s">
        <v>120</v>
      </c>
      <c r="J883" s="33" t="str">
        <f t="shared" si="43"/>
        <v>C</v>
      </c>
      <c r="K883" s="34" t="str">
        <f t="shared" si="44"/>
        <v>GOOD</v>
      </c>
    </row>
    <row r="884" spans="1:11" s="3" customFormat="1" ht="41.25" customHeight="1" x14ac:dyDescent="0.4">
      <c r="A884" s="4"/>
      <c r="B884" s="33"/>
      <c r="C884" s="33"/>
      <c r="D884" s="33"/>
      <c r="E884" s="33"/>
      <c r="F884" s="33"/>
      <c r="G884" s="25"/>
      <c r="H884" s="25"/>
      <c r="I884" s="25"/>
      <c r="J884" s="25"/>
      <c r="K884" s="35"/>
    </row>
    <row r="885" spans="1:11" s="3" customFormat="1" ht="41.25" customHeight="1" x14ac:dyDescent="0.4">
      <c r="A885" s="4"/>
      <c r="B885" s="33"/>
      <c r="C885" s="33"/>
      <c r="D885" s="33"/>
      <c r="E885" s="33"/>
      <c r="F885" s="33"/>
      <c r="G885" s="25"/>
      <c r="H885" s="25"/>
      <c r="I885" s="25"/>
      <c r="J885" s="25"/>
      <c r="K885" s="35"/>
    </row>
    <row r="886" spans="1:11" s="3" customFormat="1" ht="31.5" customHeight="1" x14ac:dyDescent="0.35">
      <c r="A886" s="5"/>
    </row>
    <row r="887" spans="1:11" s="3" customFormat="1" ht="31.5" customHeight="1" x14ac:dyDescent="0.45">
      <c r="A887" s="56" t="s">
        <v>58</v>
      </c>
      <c r="B887" s="36">
        <f>SUM(G867:G883)</f>
        <v>997</v>
      </c>
      <c r="C887" s="22"/>
      <c r="D887" s="22"/>
      <c r="E887" s="37"/>
      <c r="F887" s="83" t="s">
        <v>49</v>
      </c>
      <c r="G887" s="83"/>
      <c r="H887" s="93">
        <f>B887</f>
        <v>997</v>
      </c>
      <c r="I887" s="93"/>
      <c r="J887" s="92" t="s">
        <v>50</v>
      </c>
      <c r="K887" s="82">
        <f>H887/17</f>
        <v>58.647058823529413</v>
      </c>
    </row>
    <row r="888" spans="1:11" s="3" customFormat="1" ht="31.5" customHeight="1" x14ac:dyDescent="0.45">
      <c r="A888" s="37"/>
      <c r="B888" s="22"/>
      <c r="C888" s="22"/>
      <c r="D888" s="22"/>
      <c r="E888" s="37"/>
      <c r="F888" s="37"/>
      <c r="G888" s="37"/>
      <c r="H888" s="83">
        <v>17</v>
      </c>
      <c r="I888" s="83"/>
      <c r="J888" s="92"/>
      <c r="K888" s="82"/>
    </row>
    <row r="889" spans="1:11" s="3" customFormat="1" ht="31.5" customHeight="1" x14ac:dyDescent="0.35">
      <c r="A889" s="5"/>
      <c r="E889" s="5"/>
      <c r="F889" s="5"/>
      <c r="G889" s="5"/>
      <c r="H889" s="8"/>
      <c r="I889" s="8"/>
      <c r="J889" s="12"/>
      <c r="K889" s="13"/>
    </row>
    <row r="890" spans="1:11" s="3" customFormat="1" ht="33.75" customHeight="1" x14ac:dyDescent="0.35">
      <c r="A890" s="5"/>
      <c r="D890" s="84" t="s">
        <v>30</v>
      </c>
      <c r="E890" s="84"/>
      <c r="F890" s="84"/>
      <c r="G890" s="84"/>
      <c r="H890" s="84"/>
    </row>
    <row r="891" spans="1:11" s="3" customFormat="1" ht="33.75" customHeight="1" x14ac:dyDescent="0.35">
      <c r="A891" s="85" t="s">
        <v>31</v>
      </c>
      <c r="B891" s="86"/>
      <c r="C891" s="87"/>
      <c r="D891" s="41" t="s">
        <v>44</v>
      </c>
      <c r="E891" s="41" t="s">
        <v>45</v>
      </c>
      <c r="F891" s="41" t="s">
        <v>46</v>
      </c>
      <c r="G891" s="41" t="s">
        <v>47</v>
      </c>
      <c r="H891" s="41" t="s">
        <v>48</v>
      </c>
      <c r="I891" s="9"/>
      <c r="J891" s="11" t="s">
        <v>51</v>
      </c>
      <c r="K891" s="5"/>
    </row>
    <row r="892" spans="1:11" s="3" customFormat="1" ht="33.75" customHeight="1" x14ac:dyDescent="0.35">
      <c r="A892" s="88" t="s">
        <v>32</v>
      </c>
      <c r="B892" s="88"/>
      <c r="C892" s="88"/>
      <c r="D892" s="7"/>
      <c r="E892" s="45" t="s">
        <v>124</v>
      </c>
      <c r="F892" s="7"/>
      <c r="G892" s="7"/>
      <c r="H892" s="7"/>
      <c r="I892" s="9"/>
      <c r="J892" s="5" t="s">
        <v>52</v>
      </c>
      <c r="K892" s="5"/>
    </row>
    <row r="893" spans="1:11" s="3" customFormat="1" ht="33.75" customHeight="1" x14ac:dyDescent="0.35">
      <c r="A893" s="88" t="s">
        <v>33</v>
      </c>
      <c r="B893" s="88"/>
      <c r="C893" s="88"/>
      <c r="D893" s="7"/>
      <c r="E893" s="45" t="s">
        <v>124</v>
      </c>
      <c r="F893" s="7"/>
      <c r="G893" s="7"/>
      <c r="H893" s="7"/>
      <c r="I893" s="9"/>
      <c r="J893" s="5" t="s">
        <v>53</v>
      </c>
      <c r="K893" s="5"/>
    </row>
    <row r="894" spans="1:11" s="3" customFormat="1" ht="33.75" customHeight="1" x14ac:dyDescent="0.35">
      <c r="A894" s="88" t="s">
        <v>34</v>
      </c>
      <c r="B894" s="88"/>
      <c r="C894" s="88"/>
      <c r="D894" s="7"/>
      <c r="E894" s="45" t="s">
        <v>124</v>
      </c>
      <c r="F894" s="7"/>
      <c r="G894" s="7"/>
      <c r="H894" s="7"/>
      <c r="I894" s="9"/>
      <c r="J894" s="5" t="s">
        <v>54</v>
      </c>
      <c r="K894" s="5"/>
    </row>
    <row r="895" spans="1:11" s="3" customFormat="1" ht="33.75" customHeight="1" x14ac:dyDescent="0.35">
      <c r="A895" s="88" t="s">
        <v>35</v>
      </c>
      <c r="B895" s="88"/>
      <c r="C895" s="88"/>
      <c r="D895" s="7"/>
      <c r="E895" s="45" t="s">
        <v>124</v>
      </c>
      <c r="F895" s="7"/>
      <c r="G895" s="7"/>
      <c r="H895" s="7"/>
      <c r="I895" s="9"/>
      <c r="J895" s="5" t="s">
        <v>55</v>
      </c>
      <c r="K895" s="5"/>
    </row>
    <row r="896" spans="1:11" s="3" customFormat="1" ht="33.75" customHeight="1" x14ac:dyDescent="0.35">
      <c r="A896" s="88" t="s">
        <v>36</v>
      </c>
      <c r="B896" s="88"/>
      <c r="C896" s="88"/>
      <c r="D896" s="7"/>
      <c r="E896" s="45" t="s">
        <v>124</v>
      </c>
      <c r="F896" s="7"/>
      <c r="G896" s="7"/>
      <c r="H896" s="7"/>
      <c r="I896" s="9"/>
      <c r="J896" s="5" t="s">
        <v>56</v>
      </c>
      <c r="K896" s="5"/>
    </row>
    <row r="897" spans="1:11" s="3" customFormat="1" ht="33.75" customHeight="1" x14ac:dyDescent="0.35">
      <c r="A897" s="88" t="s">
        <v>37</v>
      </c>
      <c r="B897" s="88"/>
      <c r="C897" s="88"/>
      <c r="D897" s="45" t="s">
        <v>124</v>
      </c>
      <c r="E897" s="45"/>
      <c r="F897" s="7"/>
      <c r="G897" s="7"/>
      <c r="H897" s="7"/>
      <c r="I897" s="9"/>
      <c r="J897" s="5" t="s">
        <v>57</v>
      </c>
      <c r="K897" s="5"/>
    </row>
    <row r="898" spans="1:11" s="3" customFormat="1" ht="33.75" customHeight="1" x14ac:dyDescent="0.35">
      <c r="A898" s="88" t="s">
        <v>38</v>
      </c>
      <c r="B898" s="88"/>
      <c r="C898" s="88"/>
      <c r="D898" s="45" t="s">
        <v>124</v>
      </c>
      <c r="E898" s="45"/>
      <c r="F898" s="7"/>
      <c r="G898" s="7"/>
      <c r="H898" s="7"/>
      <c r="I898" s="9"/>
    </row>
    <row r="899" spans="1:11" s="3" customFormat="1" ht="33.75" customHeight="1" x14ac:dyDescent="0.35">
      <c r="A899" s="88" t="s">
        <v>39</v>
      </c>
      <c r="B899" s="88"/>
      <c r="C899" s="88"/>
      <c r="D899" s="45" t="s">
        <v>124</v>
      </c>
      <c r="E899" s="45"/>
      <c r="F899" s="7"/>
      <c r="G899" s="7"/>
      <c r="H899" s="7"/>
      <c r="I899" s="9"/>
    </row>
    <row r="900" spans="1:11" s="3" customFormat="1" ht="33.75" customHeight="1" x14ac:dyDescent="0.35">
      <c r="A900" s="88" t="s">
        <v>40</v>
      </c>
      <c r="B900" s="88"/>
      <c r="C900" s="88"/>
      <c r="D900" s="7"/>
      <c r="E900" s="45" t="s">
        <v>124</v>
      </c>
      <c r="F900" s="7"/>
      <c r="G900" s="7"/>
      <c r="H900" s="7"/>
      <c r="I900" s="9"/>
    </row>
    <row r="901" spans="1:11" s="3" customFormat="1" ht="33.75" customHeight="1" x14ac:dyDescent="0.35">
      <c r="A901" s="88" t="s">
        <v>41</v>
      </c>
      <c r="B901" s="88"/>
      <c r="C901" s="88"/>
      <c r="D901" s="45" t="s">
        <v>124</v>
      </c>
      <c r="E901" s="45"/>
      <c r="F901" s="7"/>
      <c r="G901" s="7"/>
      <c r="H901" s="7"/>
      <c r="I901" s="9"/>
    </row>
    <row r="902" spans="1:11" s="3" customFormat="1" ht="33.75" customHeight="1" x14ac:dyDescent="0.35">
      <c r="A902" s="88" t="s">
        <v>42</v>
      </c>
      <c r="B902" s="88"/>
      <c r="C902" s="88"/>
      <c r="D902" s="45" t="s">
        <v>124</v>
      </c>
      <c r="E902" s="45"/>
      <c r="F902" s="7"/>
      <c r="G902" s="7"/>
      <c r="H902" s="7"/>
      <c r="I902" s="9"/>
    </row>
    <row r="903" spans="1:11" s="3" customFormat="1" ht="33.75" customHeight="1" x14ac:dyDescent="0.35">
      <c r="A903" s="88" t="s">
        <v>43</v>
      </c>
      <c r="B903" s="88"/>
      <c r="C903" s="88"/>
      <c r="D903" s="7"/>
      <c r="E903" s="45" t="s">
        <v>124</v>
      </c>
      <c r="F903" s="7"/>
      <c r="G903" s="7"/>
      <c r="H903" s="7"/>
      <c r="I903" s="9"/>
    </row>
    <row r="904" spans="1:11" ht="54.75" customHeight="1" x14ac:dyDescent="0.25"/>
    <row r="905" spans="1:11" s="15" customFormat="1" ht="36.75" customHeight="1" x14ac:dyDescent="0.4">
      <c r="A905" s="17" t="s">
        <v>78</v>
      </c>
      <c r="B905" s="17"/>
      <c r="C905" s="94" t="s">
        <v>125</v>
      </c>
      <c r="D905" s="94"/>
      <c r="E905" s="94"/>
      <c r="F905" s="94"/>
      <c r="G905" s="94"/>
      <c r="H905" s="94"/>
      <c r="I905" s="94"/>
      <c r="J905" s="94"/>
      <c r="K905" s="16"/>
    </row>
    <row r="906" spans="1:11" s="15" customFormat="1" ht="42.75" customHeight="1" x14ac:dyDescent="0.4">
      <c r="A906" s="17" t="s">
        <v>80</v>
      </c>
      <c r="B906" s="17"/>
      <c r="C906" s="95" t="s">
        <v>107</v>
      </c>
      <c r="D906" s="95"/>
      <c r="E906" s="95"/>
      <c r="F906" s="95"/>
      <c r="G906" s="95"/>
      <c r="H906" s="95"/>
      <c r="I906" s="16"/>
      <c r="J906" s="16"/>
      <c r="K906" s="16"/>
    </row>
    <row r="907" spans="1:11" s="15" customFormat="1" ht="31.5" customHeight="1" x14ac:dyDescent="0.4">
      <c r="A907" s="17"/>
      <c r="B907" s="17"/>
      <c r="C907" s="18"/>
      <c r="D907" s="18"/>
      <c r="E907" s="18"/>
      <c r="F907" s="18"/>
      <c r="G907" s="18"/>
      <c r="H907" s="18"/>
      <c r="I907" s="16"/>
      <c r="J907" s="16"/>
      <c r="K907" s="16"/>
    </row>
    <row r="908" spans="1:11" s="15" customFormat="1" ht="31.5" customHeight="1" x14ac:dyDescent="0.4">
      <c r="A908" s="17" t="s">
        <v>81</v>
      </c>
      <c r="B908" s="17"/>
      <c r="C908" s="44" t="s">
        <v>130</v>
      </c>
      <c r="D908" s="44"/>
      <c r="E908" s="44"/>
      <c r="F908" s="44"/>
      <c r="G908" s="44"/>
      <c r="H908" s="44"/>
      <c r="I908" s="44"/>
      <c r="J908" s="44"/>
      <c r="K908" s="16"/>
    </row>
    <row r="909" spans="1:11" s="15" customFormat="1" ht="46.5" customHeight="1" x14ac:dyDescent="0.4">
      <c r="A909" s="17" t="s">
        <v>80</v>
      </c>
      <c r="B909" s="17"/>
      <c r="C909" s="95" t="s">
        <v>107</v>
      </c>
      <c r="D909" s="95"/>
      <c r="E909" s="95"/>
      <c r="F909" s="95"/>
      <c r="G909" s="95"/>
      <c r="H909" s="95"/>
      <c r="I909" s="16"/>
      <c r="J909" s="16"/>
      <c r="K909" s="16"/>
    </row>
    <row r="911" spans="1:11" ht="66" customHeight="1" x14ac:dyDescent="0.25">
      <c r="A911" s="62" t="s">
        <v>0</v>
      </c>
      <c r="B911" s="62"/>
      <c r="C911" s="62"/>
      <c r="D911" s="62"/>
      <c r="E911" s="62"/>
      <c r="F911" s="62"/>
      <c r="G911" s="62"/>
      <c r="H911" s="62"/>
      <c r="I911" s="62"/>
      <c r="J911" s="62"/>
      <c r="K911" s="62"/>
    </row>
    <row r="912" spans="1:11" ht="27.75" customHeight="1" x14ac:dyDescent="0.3">
      <c r="A912" s="63" t="s">
        <v>1</v>
      </c>
      <c r="B912" s="63"/>
      <c r="C912" s="63"/>
      <c r="D912" s="63"/>
      <c r="E912" s="63"/>
      <c r="F912" s="63"/>
      <c r="G912" s="63"/>
      <c r="H912" s="63"/>
      <c r="I912" s="63"/>
      <c r="J912" s="63"/>
      <c r="K912" s="63"/>
    </row>
    <row r="913" spans="1:11" ht="46.5" customHeight="1" x14ac:dyDescent="0.25">
      <c r="A913" s="64" t="s">
        <v>2</v>
      </c>
      <c r="B913" s="64"/>
      <c r="C913" s="64"/>
      <c r="D913" s="64"/>
      <c r="E913" s="64"/>
      <c r="F913" s="64"/>
      <c r="G913" s="64"/>
      <c r="H913" s="64"/>
      <c r="I913" s="64"/>
      <c r="J913" s="64"/>
      <c r="K913" s="64"/>
    </row>
    <row r="914" spans="1:11" ht="39" customHeight="1" x14ac:dyDescent="0.55000000000000004">
      <c r="A914" s="65" t="s">
        <v>3</v>
      </c>
      <c r="B914" s="65"/>
      <c r="C914" s="65"/>
      <c r="D914" s="65"/>
      <c r="E914" s="65"/>
      <c r="F914" s="65"/>
      <c r="G914" s="65"/>
      <c r="H914" s="65"/>
      <c r="I914" s="65"/>
      <c r="J914" s="65"/>
      <c r="K914" s="65"/>
    </row>
    <row r="915" spans="1:11" ht="31.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s="20" customFormat="1" ht="31.5" customHeight="1" x14ac:dyDescent="0.4">
      <c r="A916" s="19" t="s">
        <v>60</v>
      </c>
      <c r="B916" s="59" t="s">
        <v>103</v>
      </c>
      <c r="C916" s="59"/>
      <c r="D916" s="59"/>
      <c r="E916" s="59"/>
      <c r="F916" s="59"/>
      <c r="G916" s="19" t="s">
        <v>59</v>
      </c>
      <c r="H916" s="47" t="s">
        <v>104</v>
      </c>
      <c r="I916" s="19" t="s">
        <v>75</v>
      </c>
      <c r="J916" s="59" t="s">
        <v>91</v>
      </c>
      <c r="K916" s="59"/>
    </row>
    <row r="917" spans="1:11" s="20" customFormat="1" ht="31.5" customHeight="1" x14ac:dyDescent="0.4">
      <c r="A917" s="19" t="s">
        <v>61</v>
      </c>
      <c r="B917" s="59"/>
      <c r="C917" s="59"/>
      <c r="D917" s="19" t="s">
        <v>68</v>
      </c>
      <c r="E917" s="59"/>
      <c r="F917" s="59"/>
      <c r="G917" s="59"/>
      <c r="H917" s="59"/>
      <c r="I917" s="19" t="s">
        <v>69</v>
      </c>
      <c r="J917" s="59" t="s">
        <v>90</v>
      </c>
      <c r="K917" s="59"/>
    </row>
    <row r="918" spans="1:11" s="20" customFormat="1" ht="35.25" customHeight="1" x14ac:dyDescent="0.4">
      <c r="A918" s="19" t="s">
        <v>63</v>
      </c>
      <c r="B918" s="47" t="s">
        <v>64</v>
      </c>
      <c r="C918" s="47"/>
      <c r="D918" s="47"/>
      <c r="E918" s="55"/>
      <c r="F918" s="19" t="s">
        <v>62</v>
      </c>
      <c r="H918" s="47">
        <v>12</v>
      </c>
      <c r="I918" s="19" t="s">
        <v>70</v>
      </c>
      <c r="J918" s="59"/>
      <c r="K918" s="59"/>
    </row>
    <row r="919" spans="1:11" s="20" customFormat="1" ht="39" customHeight="1" x14ac:dyDescent="0.4">
      <c r="A919" s="19" t="s">
        <v>71</v>
      </c>
      <c r="B919" s="21" t="s">
        <v>86</v>
      </c>
      <c r="C919" s="21"/>
      <c r="D919" s="21"/>
      <c r="E919" s="21"/>
      <c r="F919" s="19" t="s">
        <v>73</v>
      </c>
      <c r="G919" s="19"/>
      <c r="H919" s="24" t="s">
        <v>87</v>
      </c>
      <c r="I919" s="21"/>
      <c r="J919" s="21"/>
      <c r="K919" s="21"/>
    </row>
    <row r="920" spans="1:11" s="20" customFormat="1" ht="39.75" customHeight="1" x14ac:dyDescent="0.4">
      <c r="A920" s="19" t="s">
        <v>72</v>
      </c>
      <c r="B920" s="21"/>
      <c r="C920" s="60"/>
      <c r="D920" s="60"/>
      <c r="E920" s="60"/>
      <c r="F920" s="19" t="s">
        <v>74</v>
      </c>
      <c r="G920" s="19"/>
      <c r="H920" s="61"/>
      <c r="I920" s="61"/>
      <c r="J920" s="61"/>
      <c r="K920" s="61"/>
    </row>
    <row r="921" spans="1:11" s="20" customFormat="1" ht="21" customHeight="1" x14ac:dyDescent="0.4">
      <c r="A921" s="19"/>
      <c r="B921" s="21"/>
      <c r="C921" s="51"/>
      <c r="D921" s="51"/>
      <c r="E921" s="51"/>
      <c r="F921" s="19"/>
      <c r="G921" s="19"/>
      <c r="H921" s="52"/>
      <c r="I921" s="52"/>
      <c r="J921" s="52"/>
      <c r="K921" s="52"/>
    </row>
    <row r="922" spans="1:11" s="14" customFormat="1" ht="36.75" customHeight="1" x14ac:dyDescent="0.45">
      <c r="A922" s="15"/>
      <c r="B922" s="67" t="s">
        <v>5</v>
      </c>
      <c r="C922" s="67"/>
      <c r="D922" s="67"/>
      <c r="E922" s="67"/>
      <c r="F922" s="67"/>
      <c r="G922" s="67"/>
      <c r="H922" s="67"/>
      <c r="I922" s="67"/>
      <c r="J922" s="67"/>
      <c r="K922" s="67"/>
    </row>
    <row r="923" spans="1:11" s="14" customFormat="1" ht="31.5" customHeight="1" x14ac:dyDescent="0.4">
      <c r="B923" s="68" t="s">
        <v>22</v>
      </c>
      <c r="C923" s="69"/>
      <c r="D923" s="69"/>
      <c r="E923" s="69"/>
      <c r="F923" s="49" t="s">
        <v>24</v>
      </c>
      <c r="G923" s="70" t="s">
        <v>25</v>
      </c>
      <c r="H923" s="72" t="s">
        <v>27</v>
      </c>
      <c r="I923" s="75" t="s">
        <v>66</v>
      </c>
      <c r="J923" s="76"/>
      <c r="K923" s="76" t="s">
        <v>29</v>
      </c>
    </row>
    <row r="924" spans="1:11" s="14" customFormat="1" ht="31.5" customHeight="1" x14ac:dyDescent="0.4">
      <c r="B924" s="68" t="s">
        <v>76</v>
      </c>
      <c r="C924" s="79"/>
      <c r="D924" s="26" t="s">
        <v>77</v>
      </c>
      <c r="E924" s="27" t="s">
        <v>77</v>
      </c>
      <c r="F924" s="28" t="s">
        <v>23</v>
      </c>
      <c r="G924" s="71"/>
      <c r="H924" s="73"/>
      <c r="I924" s="75"/>
      <c r="J924" s="77"/>
      <c r="K924" s="77"/>
    </row>
    <row r="925" spans="1:11" s="14" customFormat="1" ht="31.5" customHeight="1" x14ac:dyDescent="0.4">
      <c r="B925" s="80">
        <v>0.1</v>
      </c>
      <c r="C925" s="80">
        <v>0.1</v>
      </c>
      <c r="D925" s="80">
        <v>0.2</v>
      </c>
      <c r="E925" s="80">
        <v>0.2</v>
      </c>
      <c r="F925" s="90">
        <v>0.4</v>
      </c>
      <c r="G925" s="53" t="s">
        <v>26</v>
      </c>
      <c r="H925" s="74"/>
      <c r="I925" s="70"/>
      <c r="J925" s="77"/>
      <c r="K925" s="77"/>
    </row>
    <row r="926" spans="1:11" s="14" customFormat="1" ht="31.5" customHeight="1" x14ac:dyDescent="0.4">
      <c r="A926" s="23" t="s">
        <v>4</v>
      </c>
      <c r="B926" s="81"/>
      <c r="C926" s="81"/>
      <c r="D926" s="81"/>
      <c r="E926" s="81"/>
      <c r="F926" s="91"/>
      <c r="G926" s="29">
        <v>1</v>
      </c>
      <c r="H926" s="28" t="s">
        <v>28</v>
      </c>
      <c r="I926" s="43" t="s">
        <v>65</v>
      </c>
      <c r="J926" s="48" t="s">
        <v>67</v>
      </c>
      <c r="K926" s="78"/>
    </row>
    <row r="927" spans="1:11" s="3" customFormat="1" ht="41.25" customHeight="1" x14ac:dyDescent="0.4">
      <c r="A927" s="30" t="s">
        <v>6</v>
      </c>
      <c r="B927" s="33">
        <v>5</v>
      </c>
      <c r="C927" s="33">
        <v>8</v>
      </c>
      <c r="D927" s="33">
        <v>10</v>
      </c>
      <c r="E927" s="33">
        <v>10</v>
      </c>
      <c r="F927" s="33">
        <v>22</v>
      </c>
      <c r="G927" s="31">
        <f t="shared" ref="G927:G943" si="45">SUM(B927:F927)</f>
        <v>55</v>
      </c>
      <c r="H927" s="38">
        <v>60</v>
      </c>
      <c r="I927" s="31" t="s">
        <v>118</v>
      </c>
      <c r="J927" s="33" t="str">
        <f>IF(G927&gt;=70,"A",IF(G927&gt;=60,"B",IF(G927&gt;=50,"C",IF(G927&gt;=45,"D",IF(G927&gt;=40,"E",IF(G927&lt;=39,"F"))))))</f>
        <v>C</v>
      </c>
      <c r="K927" s="34" t="str">
        <f>IF(G927&gt;=70,"EXCELLENT",IF(G927&gt;=60,"V.GOOD",IF(G927&gt;=50,"GOOD",IF(G927&gt;=45,"PASS",IF(G927&gt;=40,"FAIR",IF(G927&lt;=39,"FAIL"))))))</f>
        <v>GOOD</v>
      </c>
    </row>
    <row r="928" spans="1:11" s="3" customFormat="1" ht="41.25" customHeight="1" x14ac:dyDescent="0.4">
      <c r="A928" s="30" t="s">
        <v>7</v>
      </c>
      <c r="B928" s="33">
        <v>8</v>
      </c>
      <c r="C928" s="33">
        <v>6</v>
      </c>
      <c r="D928" s="33">
        <v>10</v>
      </c>
      <c r="E928" s="33">
        <v>10</v>
      </c>
      <c r="F928" s="33">
        <v>15</v>
      </c>
      <c r="G928" s="33">
        <f t="shared" si="45"/>
        <v>49</v>
      </c>
      <c r="H928" s="39">
        <v>58.9</v>
      </c>
      <c r="I928" s="33" t="s">
        <v>119</v>
      </c>
      <c r="J928" s="33" t="str">
        <f t="shared" ref="J928:J943" si="46">IF(G928&gt;=70,"A",IF(G928&gt;=60,"B",IF(G928&gt;=50,"C",IF(G928&gt;=45,"D",IF(G928&gt;=40,"E",IF(G928&lt;=39,"F"))))))</f>
        <v>D</v>
      </c>
      <c r="K928" s="34" t="str">
        <f t="shared" ref="K928:K943" si="47">IF(G928&gt;=70,"EXCELLENT",IF(G928&gt;=60,"V.GOOD",IF(G928&gt;=50,"GOOD",IF(G928&gt;=45,"PASS",IF(G928&gt;=40,"FAIR",IF(G928&lt;=39,"FAIL"))))))</f>
        <v>PASS</v>
      </c>
    </row>
    <row r="929" spans="1:11" s="3" customFormat="1" ht="41.25" customHeight="1" x14ac:dyDescent="0.4">
      <c r="A929" s="30" t="s">
        <v>8</v>
      </c>
      <c r="B929" s="33">
        <v>4</v>
      </c>
      <c r="C929" s="33">
        <v>6</v>
      </c>
      <c r="D929" s="33">
        <v>10</v>
      </c>
      <c r="E929" s="33">
        <v>8</v>
      </c>
      <c r="F929" s="33">
        <v>30</v>
      </c>
      <c r="G929" s="33">
        <f t="shared" si="45"/>
        <v>58</v>
      </c>
      <c r="H929" s="39">
        <v>51.8</v>
      </c>
      <c r="I929" s="33" t="s">
        <v>115</v>
      </c>
      <c r="J929" s="33" t="str">
        <f t="shared" si="46"/>
        <v>C</v>
      </c>
      <c r="K929" s="34" t="str">
        <f t="shared" si="47"/>
        <v>GOOD</v>
      </c>
    </row>
    <row r="930" spans="1:11" s="3" customFormat="1" ht="41.25" customHeight="1" x14ac:dyDescent="0.4">
      <c r="A930" s="30" t="s">
        <v>13</v>
      </c>
      <c r="B930" s="33">
        <v>10</v>
      </c>
      <c r="C930" s="33">
        <v>10</v>
      </c>
      <c r="D930" s="33">
        <v>11</v>
      </c>
      <c r="E930" s="33">
        <v>10</v>
      </c>
      <c r="F930" s="33">
        <v>27</v>
      </c>
      <c r="G930" s="33">
        <f t="shared" si="45"/>
        <v>68</v>
      </c>
      <c r="H930" s="39">
        <v>72.599999999999994</v>
      </c>
      <c r="I930" s="33" t="s">
        <v>118</v>
      </c>
      <c r="J930" s="33" t="str">
        <f t="shared" si="46"/>
        <v>B</v>
      </c>
      <c r="K930" s="34" t="str">
        <f t="shared" si="47"/>
        <v>V.GOOD</v>
      </c>
    </row>
    <row r="931" spans="1:11" s="3" customFormat="1" ht="41.25" customHeight="1" x14ac:dyDescent="0.4">
      <c r="A931" s="30" t="s">
        <v>9</v>
      </c>
      <c r="B931" s="33">
        <v>6</v>
      </c>
      <c r="C931" s="33">
        <v>10</v>
      </c>
      <c r="D931" s="33">
        <v>14</v>
      </c>
      <c r="E931" s="33">
        <v>20</v>
      </c>
      <c r="F931" s="33">
        <v>34</v>
      </c>
      <c r="G931" s="33">
        <f t="shared" si="45"/>
        <v>84</v>
      </c>
      <c r="H931" s="39">
        <v>71.400000000000006</v>
      </c>
      <c r="I931" s="33" t="s">
        <v>116</v>
      </c>
      <c r="J931" s="33" t="str">
        <f t="shared" si="46"/>
        <v>A</v>
      </c>
      <c r="K931" s="34" t="str">
        <f t="shared" si="47"/>
        <v>EXCELLENT</v>
      </c>
    </row>
    <row r="932" spans="1:11" s="3" customFormat="1" ht="41.25" customHeight="1" x14ac:dyDescent="0.4">
      <c r="A932" s="30" t="s">
        <v>82</v>
      </c>
      <c r="B932" s="33">
        <v>6</v>
      </c>
      <c r="C932" s="33">
        <v>5</v>
      </c>
      <c r="D932" s="33">
        <v>9</v>
      </c>
      <c r="E932" s="33">
        <v>11</v>
      </c>
      <c r="F932" s="33">
        <v>30</v>
      </c>
      <c r="G932" s="33">
        <f t="shared" si="45"/>
        <v>61</v>
      </c>
      <c r="H932" s="39">
        <v>54.7</v>
      </c>
      <c r="I932" s="33" t="s">
        <v>115</v>
      </c>
      <c r="J932" s="33" t="str">
        <f t="shared" si="46"/>
        <v>B</v>
      </c>
      <c r="K932" s="34" t="str">
        <f t="shared" si="47"/>
        <v>V.GOOD</v>
      </c>
    </row>
    <row r="933" spans="1:11" s="3" customFormat="1" ht="41.25" customHeight="1" x14ac:dyDescent="0.4">
      <c r="A933" s="30" t="s">
        <v>21</v>
      </c>
      <c r="B933" s="33">
        <v>9</v>
      </c>
      <c r="C933" s="33">
        <v>10</v>
      </c>
      <c r="D933" s="33">
        <v>10</v>
      </c>
      <c r="E933" s="33">
        <v>9</v>
      </c>
      <c r="F933" s="33">
        <v>28</v>
      </c>
      <c r="G933" s="33">
        <f t="shared" si="45"/>
        <v>66</v>
      </c>
      <c r="H933" s="39">
        <v>65.2</v>
      </c>
      <c r="I933" s="33" t="s">
        <v>113</v>
      </c>
      <c r="J933" s="33" t="str">
        <f t="shared" si="46"/>
        <v>B</v>
      </c>
      <c r="K933" s="34" t="str">
        <f t="shared" si="47"/>
        <v>V.GOOD</v>
      </c>
    </row>
    <row r="934" spans="1:11" s="3" customFormat="1" ht="41.25" customHeight="1" x14ac:dyDescent="0.4">
      <c r="A934" s="30" t="s">
        <v>10</v>
      </c>
      <c r="B934" s="33">
        <v>5</v>
      </c>
      <c r="C934" s="33">
        <v>7</v>
      </c>
      <c r="D934" s="33">
        <v>12</v>
      </c>
      <c r="E934" s="33">
        <v>11</v>
      </c>
      <c r="F934" s="33">
        <v>19</v>
      </c>
      <c r="G934" s="33">
        <f t="shared" si="45"/>
        <v>54</v>
      </c>
      <c r="H934" s="39">
        <v>71.25</v>
      </c>
      <c r="I934" s="33" t="s">
        <v>121</v>
      </c>
      <c r="J934" s="33" t="str">
        <f t="shared" si="46"/>
        <v>C</v>
      </c>
      <c r="K934" s="34" t="str">
        <f t="shared" si="47"/>
        <v>GOOD</v>
      </c>
    </row>
    <row r="935" spans="1:11" s="3" customFormat="1" ht="41.25" customHeight="1" x14ac:dyDescent="0.4">
      <c r="A935" s="30" t="s">
        <v>12</v>
      </c>
      <c r="B935" s="33">
        <v>7</v>
      </c>
      <c r="C935" s="33">
        <v>8</v>
      </c>
      <c r="D935" s="33">
        <v>15</v>
      </c>
      <c r="E935" s="33">
        <v>15</v>
      </c>
      <c r="F935" s="33">
        <v>28</v>
      </c>
      <c r="G935" s="33">
        <f t="shared" si="45"/>
        <v>73</v>
      </c>
      <c r="H935" s="39">
        <v>79.5</v>
      </c>
      <c r="I935" s="33" t="s">
        <v>121</v>
      </c>
      <c r="J935" s="33" t="str">
        <f t="shared" si="46"/>
        <v>A</v>
      </c>
      <c r="K935" s="34" t="str">
        <f t="shared" si="47"/>
        <v>EXCELLENT</v>
      </c>
    </row>
    <row r="936" spans="1:11" s="3" customFormat="1" ht="41.25" customHeight="1" x14ac:dyDescent="0.4">
      <c r="A936" s="30" t="s">
        <v>11</v>
      </c>
      <c r="B936" s="33">
        <v>7</v>
      </c>
      <c r="C936" s="33">
        <v>8</v>
      </c>
      <c r="D936" s="33">
        <v>15</v>
      </c>
      <c r="E936" s="33">
        <v>15</v>
      </c>
      <c r="F936" s="33">
        <v>13</v>
      </c>
      <c r="G936" s="33">
        <f t="shared" si="45"/>
        <v>58</v>
      </c>
      <c r="H936" s="39">
        <v>66.08</v>
      </c>
      <c r="I936" s="33" t="s">
        <v>121</v>
      </c>
      <c r="J936" s="33" t="str">
        <f t="shared" si="46"/>
        <v>C</v>
      </c>
      <c r="K936" s="34" t="str">
        <f t="shared" si="47"/>
        <v>GOOD</v>
      </c>
    </row>
    <row r="937" spans="1:11" s="3" customFormat="1" ht="41.25" customHeight="1" x14ac:dyDescent="0.4">
      <c r="A937" s="30" t="s">
        <v>14</v>
      </c>
      <c r="B937" s="33">
        <v>3</v>
      </c>
      <c r="C937" s="33">
        <v>8</v>
      </c>
      <c r="D937" s="33">
        <v>18</v>
      </c>
      <c r="E937" s="33">
        <v>6</v>
      </c>
      <c r="F937" s="33">
        <v>28</v>
      </c>
      <c r="G937" s="33">
        <f t="shared" si="45"/>
        <v>63</v>
      </c>
      <c r="H937" s="39">
        <v>69.5</v>
      </c>
      <c r="I937" s="33" t="s">
        <v>118</v>
      </c>
      <c r="J937" s="33" t="str">
        <f t="shared" si="46"/>
        <v>B</v>
      </c>
      <c r="K937" s="34" t="str">
        <f t="shared" si="47"/>
        <v>V.GOOD</v>
      </c>
    </row>
    <row r="938" spans="1:11" s="3" customFormat="1" ht="41.25" customHeight="1" x14ac:dyDescent="0.4">
      <c r="A938" s="30" t="s">
        <v>15</v>
      </c>
      <c r="B938" s="33">
        <v>8</v>
      </c>
      <c r="C938" s="33">
        <v>9</v>
      </c>
      <c r="D938" s="33">
        <v>8</v>
      </c>
      <c r="E938" s="33">
        <v>12</v>
      </c>
      <c r="F938" s="33">
        <v>32</v>
      </c>
      <c r="G938" s="33">
        <f t="shared" si="45"/>
        <v>69</v>
      </c>
      <c r="H938" s="39">
        <v>61.75</v>
      </c>
      <c r="I938" s="33" t="s">
        <v>115</v>
      </c>
      <c r="J938" s="33" t="str">
        <f t="shared" si="46"/>
        <v>B</v>
      </c>
      <c r="K938" s="34" t="str">
        <f t="shared" si="47"/>
        <v>V.GOOD</v>
      </c>
    </row>
    <row r="939" spans="1:11" s="3" customFormat="1" ht="41.25" customHeight="1" x14ac:dyDescent="0.4">
      <c r="A939" s="30" t="s">
        <v>16</v>
      </c>
      <c r="B939" s="33">
        <v>7</v>
      </c>
      <c r="C939" s="33">
        <v>7</v>
      </c>
      <c r="D939" s="33">
        <v>8</v>
      </c>
      <c r="E939" s="33">
        <v>7</v>
      </c>
      <c r="F939" s="33">
        <v>29</v>
      </c>
      <c r="G939" s="33">
        <f t="shared" si="45"/>
        <v>58</v>
      </c>
      <c r="H939" s="39">
        <v>61.17</v>
      </c>
      <c r="I939" s="33" t="s">
        <v>118</v>
      </c>
      <c r="J939" s="33" t="str">
        <f t="shared" si="46"/>
        <v>C</v>
      </c>
      <c r="K939" s="34" t="str">
        <f t="shared" si="47"/>
        <v>GOOD</v>
      </c>
    </row>
    <row r="940" spans="1:11" s="3" customFormat="1" ht="41.25" customHeight="1" x14ac:dyDescent="0.4">
      <c r="A940" s="30" t="s">
        <v>17</v>
      </c>
      <c r="B940" s="33">
        <v>8</v>
      </c>
      <c r="C940" s="33">
        <v>8</v>
      </c>
      <c r="D940" s="33">
        <v>8</v>
      </c>
      <c r="E940" s="33">
        <v>8</v>
      </c>
      <c r="F940" s="33">
        <v>18</v>
      </c>
      <c r="G940" s="33">
        <f t="shared" si="45"/>
        <v>50</v>
      </c>
      <c r="H940" s="39">
        <v>62.6</v>
      </c>
      <c r="I940" s="33" t="s">
        <v>121</v>
      </c>
      <c r="J940" s="33" t="str">
        <f t="shared" si="46"/>
        <v>C</v>
      </c>
      <c r="K940" s="34" t="str">
        <f t="shared" si="47"/>
        <v>GOOD</v>
      </c>
    </row>
    <row r="941" spans="1:11" s="3" customFormat="1" ht="41.25" customHeight="1" x14ac:dyDescent="0.4">
      <c r="A941" s="30" t="s">
        <v>18</v>
      </c>
      <c r="B941" s="33">
        <v>10</v>
      </c>
      <c r="C941" s="33">
        <v>10</v>
      </c>
      <c r="D941" s="33">
        <v>12</v>
      </c>
      <c r="E941" s="33">
        <v>17</v>
      </c>
      <c r="F941" s="33">
        <v>30</v>
      </c>
      <c r="G941" s="33">
        <f t="shared" si="45"/>
        <v>79</v>
      </c>
      <c r="H941" s="39">
        <v>70</v>
      </c>
      <c r="I941" s="33" t="s">
        <v>112</v>
      </c>
      <c r="J941" s="33" t="str">
        <f t="shared" si="46"/>
        <v>A</v>
      </c>
      <c r="K941" s="34" t="str">
        <f t="shared" si="47"/>
        <v>EXCELLENT</v>
      </c>
    </row>
    <row r="942" spans="1:11" s="3" customFormat="1" ht="41.25" customHeight="1" x14ac:dyDescent="0.4">
      <c r="A942" s="30" t="s">
        <v>19</v>
      </c>
      <c r="B942" s="33">
        <v>9</v>
      </c>
      <c r="C942" s="33">
        <v>10</v>
      </c>
      <c r="D942" s="33">
        <v>14</v>
      </c>
      <c r="E942" s="33">
        <v>20</v>
      </c>
      <c r="F942" s="33">
        <v>29</v>
      </c>
      <c r="G942" s="33">
        <f t="shared" si="45"/>
        <v>82</v>
      </c>
      <c r="H942" s="39">
        <v>69.25</v>
      </c>
      <c r="I942" s="33" t="s">
        <v>113</v>
      </c>
      <c r="J942" s="33" t="str">
        <f t="shared" si="46"/>
        <v>A</v>
      </c>
      <c r="K942" s="34" t="str">
        <f t="shared" si="47"/>
        <v>EXCELLENT</v>
      </c>
    </row>
    <row r="943" spans="1:11" s="3" customFormat="1" ht="41.25" customHeight="1" x14ac:dyDescent="0.4">
      <c r="A943" s="30" t="s">
        <v>20</v>
      </c>
      <c r="B943" s="33">
        <v>10</v>
      </c>
      <c r="C943" s="33">
        <v>10</v>
      </c>
      <c r="D943" s="33">
        <v>8</v>
      </c>
      <c r="E943" s="33">
        <v>14</v>
      </c>
      <c r="F943" s="33">
        <v>21</v>
      </c>
      <c r="G943" s="33">
        <f t="shared" si="45"/>
        <v>63</v>
      </c>
      <c r="H943" s="39">
        <v>67</v>
      </c>
      <c r="I943" s="33" t="s">
        <v>119</v>
      </c>
      <c r="J943" s="33" t="str">
        <f t="shared" si="46"/>
        <v>B</v>
      </c>
      <c r="K943" s="34" t="str">
        <f t="shared" si="47"/>
        <v>V.GOOD</v>
      </c>
    </row>
    <row r="944" spans="1:11" s="3" customFormat="1" ht="41.25" customHeight="1" x14ac:dyDescent="0.4">
      <c r="A944" s="4"/>
      <c r="B944" s="33"/>
      <c r="C944" s="33"/>
      <c r="D944" s="33"/>
      <c r="E944" s="33"/>
      <c r="F944" s="33"/>
      <c r="G944" s="25"/>
      <c r="H944" s="25"/>
      <c r="I944" s="25"/>
      <c r="J944" s="25"/>
      <c r="K944" s="35"/>
    </row>
    <row r="945" spans="1:11" s="3" customFormat="1" ht="41.25" customHeight="1" x14ac:dyDescent="0.4">
      <c r="A945" s="4"/>
      <c r="B945" s="33"/>
      <c r="C945" s="33"/>
      <c r="D945" s="33"/>
      <c r="E945" s="33"/>
      <c r="F945" s="33"/>
      <c r="G945" s="25"/>
      <c r="H945" s="25"/>
      <c r="I945" s="25"/>
      <c r="J945" s="25"/>
      <c r="K945" s="35"/>
    </row>
    <row r="946" spans="1:11" s="3" customFormat="1" ht="31.5" customHeight="1" x14ac:dyDescent="0.35">
      <c r="A946" s="5"/>
    </row>
    <row r="947" spans="1:11" s="3" customFormat="1" ht="31.5" customHeight="1" x14ac:dyDescent="0.45">
      <c r="A947" s="56" t="s">
        <v>58</v>
      </c>
      <c r="B947" s="36">
        <f>SUM(G927:G943)</f>
        <v>1090</v>
      </c>
      <c r="C947" s="22"/>
      <c r="D947" s="22"/>
      <c r="E947" s="37"/>
      <c r="F947" s="83" t="s">
        <v>49</v>
      </c>
      <c r="G947" s="83"/>
      <c r="H947" s="93">
        <f>B947</f>
        <v>1090</v>
      </c>
      <c r="I947" s="93"/>
      <c r="J947" s="92" t="s">
        <v>50</v>
      </c>
      <c r="K947" s="82">
        <f>H947/17</f>
        <v>64.117647058823536</v>
      </c>
    </row>
    <row r="948" spans="1:11" s="3" customFormat="1" ht="31.5" customHeight="1" x14ac:dyDescent="0.45">
      <c r="A948" s="37"/>
      <c r="B948" s="22"/>
      <c r="C948" s="22"/>
      <c r="D948" s="22"/>
      <c r="E948" s="37"/>
      <c r="F948" s="37"/>
      <c r="G948" s="37"/>
      <c r="H948" s="83">
        <v>17</v>
      </c>
      <c r="I948" s="83"/>
      <c r="J948" s="92"/>
      <c r="K948" s="82"/>
    </row>
    <row r="949" spans="1:11" s="3" customFormat="1" ht="31.5" customHeight="1" x14ac:dyDescent="0.35">
      <c r="A949" s="5"/>
      <c r="E949" s="5"/>
      <c r="F949" s="5"/>
      <c r="G949" s="5"/>
      <c r="H949" s="8"/>
      <c r="I949" s="8"/>
      <c r="J949" s="12"/>
      <c r="K949" s="13"/>
    </row>
    <row r="950" spans="1:11" s="3" customFormat="1" ht="33.75" customHeight="1" x14ac:dyDescent="0.35">
      <c r="A950" s="5"/>
      <c r="D950" s="84" t="s">
        <v>30</v>
      </c>
      <c r="E950" s="84"/>
      <c r="F950" s="84"/>
      <c r="G950" s="84"/>
      <c r="H950" s="84"/>
    </row>
    <row r="951" spans="1:11" s="3" customFormat="1" ht="33.75" customHeight="1" x14ac:dyDescent="0.35">
      <c r="A951" s="85" t="s">
        <v>31</v>
      </c>
      <c r="B951" s="86"/>
      <c r="C951" s="87"/>
      <c r="D951" s="41" t="s">
        <v>44</v>
      </c>
      <c r="E951" s="41" t="s">
        <v>45</v>
      </c>
      <c r="F951" s="41" t="s">
        <v>46</v>
      </c>
      <c r="G951" s="41" t="s">
        <v>47</v>
      </c>
      <c r="H951" s="41" t="s">
        <v>48</v>
      </c>
      <c r="I951" s="9"/>
      <c r="J951" s="11" t="s">
        <v>51</v>
      </c>
      <c r="K951" s="5"/>
    </row>
    <row r="952" spans="1:11" s="3" customFormat="1" ht="33.75" customHeight="1" x14ac:dyDescent="0.35">
      <c r="A952" s="88" t="s">
        <v>32</v>
      </c>
      <c r="B952" s="88"/>
      <c r="C952" s="88"/>
      <c r="D952" s="45" t="s">
        <v>124</v>
      </c>
      <c r="E952" s="7"/>
      <c r="F952" s="7"/>
      <c r="G952" s="7"/>
      <c r="H952" s="7"/>
      <c r="I952" s="9"/>
      <c r="J952" s="5" t="s">
        <v>52</v>
      </c>
      <c r="K952" s="5"/>
    </row>
    <row r="953" spans="1:11" s="3" customFormat="1" ht="33.75" customHeight="1" x14ac:dyDescent="0.35">
      <c r="A953" s="88" t="s">
        <v>33</v>
      </c>
      <c r="B953" s="88"/>
      <c r="C953" s="88"/>
      <c r="D953" s="45" t="s">
        <v>124</v>
      </c>
      <c r="E953" s="7"/>
      <c r="F953" s="7"/>
      <c r="G953" s="7"/>
      <c r="H953" s="7"/>
      <c r="I953" s="9"/>
      <c r="J953" s="5" t="s">
        <v>53</v>
      </c>
      <c r="K953" s="5"/>
    </row>
    <row r="954" spans="1:11" s="3" customFormat="1" ht="33.75" customHeight="1" x14ac:dyDescent="0.35">
      <c r="A954" s="88" t="s">
        <v>34</v>
      </c>
      <c r="B954" s="88"/>
      <c r="C954" s="88"/>
      <c r="D954" s="7"/>
      <c r="E954" s="45" t="s">
        <v>124</v>
      </c>
      <c r="F954" s="7"/>
      <c r="G954" s="7"/>
      <c r="H954" s="7"/>
      <c r="I954" s="9"/>
      <c r="J954" s="5" t="s">
        <v>54</v>
      </c>
      <c r="K954" s="5"/>
    </row>
    <row r="955" spans="1:11" s="3" customFormat="1" ht="33.75" customHeight="1" x14ac:dyDescent="0.35">
      <c r="A955" s="88" t="s">
        <v>35</v>
      </c>
      <c r="B955" s="88"/>
      <c r="C955" s="88"/>
      <c r="D955" s="7"/>
      <c r="E955" s="45" t="s">
        <v>124</v>
      </c>
      <c r="F955" s="7"/>
      <c r="G955" s="7"/>
      <c r="H955" s="7"/>
      <c r="I955" s="9"/>
      <c r="J955" s="5" t="s">
        <v>55</v>
      </c>
      <c r="K955" s="5"/>
    </row>
    <row r="956" spans="1:11" s="3" customFormat="1" ht="33.75" customHeight="1" x14ac:dyDescent="0.35">
      <c r="A956" s="88" t="s">
        <v>36</v>
      </c>
      <c r="B956" s="88"/>
      <c r="C956" s="88"/>
      <c r="D956" s="45" t="s">
        <v>124</v>
      </c>
      <c r="E956" s="7"/>
      <c r="F956" s="7"/>
      <c r="G956" s="7"/>
      <c r="H956" s="7"/>
      <c r="I956" s="9"/>
      <c r="J956" s="5" t="s">
        <v>56</v>
      </c>
      <c r="K956" s="5"/>
    </row>
    <row r="957" spans="1:11" s="3" customFormat="1" ht="33.75" customHeight="1" x14ac:dyDescent="0.35">
      <c r="A957" s="88" t="s">
        <v>37</v>
      </c>
      <c r="B957" s="88"/>
      <c r="C957" s="88"/>
      <c r="D957" s="45" t="s">
        <v>124</v>
      </c>
      <c r="E957" s="7"/>
      <c r="F957" s="7"/>
      <c r="G957" s="7"/>
      <c r="H957" s="7"/>
      <c r="I957" s="9"/>
      <c r="J957" s="5" t="s">
        <v>57</v>
      </c>
      <c r="K957" s="5"/>
    </row>
    <row r="958" spans="1:11" s="3" customFormat="1" ht="33.75" customHeight="1" x14ac:dyDescent="0.35">
      <c r="A958" s="88" t="s">
        <v>38</v>
      </c>
      <c r="B958" s="88"/>
      <c r="C958" s="88"/>
      <c r="D958" s="45" t="s">
        <v>124</v>
      </c>
      <c r="E958" s="7"/>
      <c r="F958" s="7"/>
      <c r="G958" s="7"/>
      <c r="H958" s="7"/>
      <c r="I958" s="9"/>
    </row>
    <row r="959" spans="1:11" s="3" customFormat="1" ht="33.75" customHeight="1" x14ac:dyDescent="0.35">
      <c r="A959" s="88" t="s">
        <v>39</v>
      </c>
      <c r="B959" s="88"/>
      <c r="C959" s="88"/>
      <c r="D959" s="45" t="s">
        <v>124</v>
      </c>
      <c r="E959" s="45"/>
      <c r="F959" s="7"/>
      <c r="G959" s="7"/>
      <c r="H959" s="7"/>
      <c r="I959" s="9"/>
    </row>
    <row r="960" spans="1:11" s="3" customFormat="1" ht="33.75" customHeight="1" x14ac:dyDescent="0.35">
      <c r="A960" s="88" t="s">
        <v>40</v>
      </c>
      <c r="B960" s="88"/>
      <c r="C960" s="88"/>
      <c r="D960" s="45" t="s">
        <v>124</v>
      </c>
      <c r="E960" s="45"/>
      <c r="F960" s="7"/>
      <c r="G960" s="7"/>
      <c r="H960" s="7"/>
      <c r="I960" s="9"/>
    </row>
    <row r="961" spans="1:11" s="3" customFormat="1" ht="33.75" customHeight="1" x14ac:dyDescent="0.35">
      <c r="A961" s="88" t="s">
        <v>41</v>
      </c>
      <c r="B961" s="88"/>
      <c r="C961" s="88"/>
      <c r="D961" s="45" t="s">
        <v>124</v>
      </c>
      <c r="E961" s="7"/>
      <c r="F961" s="7"/>
      <c r="G961" s="7"/>
      <c r="H961" s="7"/>
      <c r="I961" s="9"/>
    </row>
    <row r="962" spans="1:11" s="3" customFormat="1" ht="33.75" customHeight="1" x14ac:dyDescent="0.35">
      <c r="A962" s="88" t="s">
        <v>42</v>
      </c>
      <c r="B962" s="88"/>
      <c r="C962" s="88"/>
      <c r="D962" s="45" t="s">
        <v>124</v>
      </c>
      <c r="E962" s="45"/>
      <c r="F962" s="7"/>
      <c r="G962" s="7"/>
      <c r="H962" s="7"/>
      <c r="I962" s="9"/>
    </row>
    <row r="963" spans="1:11" s="3" customFormat="1" ht="33.75" customHeight="1" x14ac:dyDescent="0.35">
      <c r="A963" s="88" t="s">
        <v>43</v>
      </c>
      <c r="B963" s="88"/>
      <c r="C963" s="88"/>
      <c r="D963" s="45" t="s">
        <v>124</v>
      </c>
      <c r="E963" s="7"/>
      <c r="F963" s="7"/>
      <c r="G963" s="7"/>
      <c r="H963" s="7"/>
      <c r="I963" s="9"/>
    </row>
    <row r="964" spans="1:11" ht="54.75" customHeight="1" x14ac:dyDescent="0.25"/>
    <row r="965" spans="1:11" s="15" customFormat="1" ht="36.75" customHeight="1" x14ac:dyDescent="0.4">
      <c r="A965" s="17" t="s">
        <v>78</v>
      </c>
      <c r="B965" s="17"/>
      <c r="C965" s="94" t="s">
        <v>125</v>
      </c>
      <c r="D965" s="94"/>
      <c r="E965" s="94"/>
      <c r="F965" s="94"/>
      <c r="G965" s="94"/>
      <c r="H965" s="94"/>
      <c r="I965" s="94"/>
      <c r="J965" s="94"/>
      <c r="K965" s="16"/>
    </row>
    <row r="966" spans="1:11" s="15" customFormat="1" ht="42.75" customHeight="1" x14ac:dyDescent="0.4">
      <c r="A966" s="17" t="s">
        <v>80</v>
      </c>
      <c r="B966" s="17"/>
      <c r="C966" s="95" t="s">
        <v>107</v>
      </c>
      <c r="D966" s="95"/>
      <c r="E966" s="95"/>
      <c r="F966" s="95"/>
      <c r="G966" s="95"/>
      <c r="H966" s="95"/>
      <c r="I966" s="16"/>
      <c r="J966" s="16"/>
      <c r="K966" s="16"/>
    </row>
    <row r="967" spans="1:11" s="15" customFormat="1" ht="31.5" customHeight="1" x14ac:dyDescent="0.4">
      <c r="A967" s="17"/>
      <c r="B967" s="17"/>
      <c r="C967" s="18"/>
      <c r="D967" s="18"/>
      <c r="E967" s="18"/>
      <c r="F967" s="18"/>
      <c r="G967" s="18"/>
      <c r="H967" s="18"/>
      <c r="I967" s="16"/>
      <c r="J967" s="16"/>
      <c r="K967" s="16"/>
    </row>
    <row r="968" spans="1:11" s="15" customFormat="1" ht="31.5" customHeight="1" x14ac:dyDescent="0.4">
      <c r="A968" s="17" t="s">
        <v>81</v>
      </c>
      <c r="B968" s="17"/>
      <c r="C968" s="94" t="s">
        <v>126</v>
      </c>
      <c r="D968" s="94"/>
      <c r="E968" s="94"/>
      <c r="F968" s="94"/>
      <c r="G968" s="94"/>
      <c r="H968" s="94"/>
      <c r="I968" s="94"/>
      <c r="J968" s="94"/>
      <c r="K968" s="16"/>
    </row>
    <row r="969" spans="1:11" s="15" customFormat="1" ht="46.5" customHeight="1" x14ac:dyDescent="0.4">
      <c r="A969" s="17" t="s">
        <v>80</v>
      </c>
      <c r="B969" s="17"/>
      <c r="C969" s="95" t="s">
        <v>107</v>
      </c>
      <c r="D969" s="95"/>
      <c r="E969" s="95"/>
      <c r="F969" s="95"/>
      <c r="G969" s="95"/>
      <c r="H969" s="95"/>
      <c r="I969" s="16"/>
      <c r="J969" s="16"/>
      <c r="K969" s="16"/>
    </row>
    <row r="971" spans="1:11" ht="66" customHeight="1" x14ac:dyDescent="0.25">
      <c r="A971" s="62" t="s">
        <v>0</v>
      </c>
      <c r="B971" s="62"/>
      <c r="C971" s="62"/>
      <c r="D971" s="62"/>
      <c r="E971" s="62"/>
      <c r="F971" s="62"/>
      <c r="G971" s="62"/>
      <c r="H971" s="62"/>
      <c r="I971" s="62"/>
      <c r="J971" s="62"/>
      <c r="K971" s="62"/>
    </row>
    <row r="972" spans="1:11" ht="27.75" customHeight="1" x14ac:dyDescent="0.3">
      <c r="A972" s="63" t="s">
        <v>1</v>
      </c>
      <c r="B972" s="63"/>
      <c r="C972" s="63"/>
      <c r="D972" s="63"/>
      <c r="E972" s="63"/>
      <c r="F972" s="63"/>
      <c r="G972" s="63"/>
      <c r="H972" s="63"/>
      <c r="I972" s="63"/>
      <c r="J972" s="63"/>
      <c r="K972" s="63"/>
    </row>
    <row r="973" spans="1:11" ht="46.5" customHeight="1" x14ac:dyDescent="0.25">
      <c r="A973" s="64" t="s">
        <v>2</v>
      </c>
      <c r="B973" s="64"/>
      <c r="C973" s="64"/>
      <c r="D973" s="64"/>
      <c r="E973" s="64"/>
      <c r="F973" s="64"/>
      <c r="G973" s="64"/>
      <c r="H973" s="64"/>
      <c r="I973" s="64"/>
      <c r="J973" s="64"/>
      <c r="K973" s="64"/>
    </row>
    <row r="974" spans="1:11" ht="39" customHeight="1" x14ac:dyDescent="0.55000000000000004">
      <c r="A974" s="65" t="s">
        <v>3</v>
      </c>
      <c r="B974" s="65"/>
      <c r="C974" s="65"/>
      <c r="D974" s="65"/>
      <c r="E974" s="65"/>
      <c r="F974" s="65"/>
      <c r="G974" s="65"/>
      <c r="H974" s="65"/>
      <c r="I974" s="65"/>
      <c r="J974" s="65"/>
      <c r="K974" s="65"/>
    </row>
    <row r="975" spans="1:11" ht="31.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s="20" customFormat="1" ht="31.5" customHeight="1" x14ac:dyDescent="0.4">
      <c r="A976" s="19" t="s">
        <v>60</v>
      </c>
      <c r="B976" s="59" t="s">
        <v>105</v>
      </c>
      <c r="C976" s="59"/>
      <c r="D976" s="59"/>
      <c r="E976" s="59"/>
      <c r="F976" s="59"/>
      <c r="G976" s="19" t="s">
        <v>59</v>
      </c>
      <c r="H976" s="47" t="s">
        <v>106</v>
      </c>
      <c r="I976" s="19" t="s">
        <v>75</v>
      </c>
      <c r="J976" s="59" t="s">
        <v>91</v>
      </c>
      <c r="K976" s="59"/>
    </row>
    <row r="977" spans="1:11" s="20" customFormat="1" ht="31.5" customHeight="1" x14ac:dyDescent="0.4">
      <c r="A977" s="19" t="s">
        <v>61</v>
      </c>
      <c r="B977" s="59"/>
      <c r="C977" s="59"/>
      <c r="D977" s="19" t="s">
        <v>68</v>
      </c>
      <c r="E977" s="59"/>
      <c r="F977" s="59"/>
      <c r="G977" s="59"/>
      <c r="H977" s="59"/>
      <c r="I977" s="19" t="s">
        <v>69</v>
      </c>
      <c r="J977" s="59" t="s">
        <v>90</v>
      </c>
      <c r="K977" s="59"/>
    </row>
    <row r="978" spans="1:11" s="20" customFormat="1" ht="35.25" customHeight="1" x14ac:dyDescent="0.4">
      <c r="A978" s="19" t="s">
        <v>63</v>
      </c>
      <c r="B978" s="47" t="s">
        <v>64</v>
      </c>
      <c r="C978" s="47"/>
      <c r="D978" s="47"/>
      <c r="E978" s="55"/>
      <c r="F978" s="19" t="s">
        <v>62</v>
      </c>
      <c r="H978" s="47">
        <v>12</v>
      </c>
      <c r="I978" s="19" t="s">
        <v>70</v>
      </c>
      <c r="J978" s="59"/>
      <c r="K978" s="59"/>
    </row>
    <row r="979" spans="1:11" s="20" customFormat="1" ht="39" customHeight="1" x14ac:dyDescent="0.4">
      <c r="A979" s="19" t="s">
        <v>71</v>
      </c>
      <c r="B979" s="21" t="s">
        <v>86</v>
      </c>
      <c r="C979" s="21"/>
      <c r="D979" s="21"/>
      <c r="E979" s="21"/>
      <c r="F979" s="19" t="s">
        <v>73</v>
      </c>
      <c r="G979" s="19"/>
      <c r="H979" s="24" t="s">
        <v>87</v>
      </c>
      <c r="I979" s="21"/>
      <c r="J979" s="21"/>
      <c r="K979" s="21"/>
    </row>
    <row r="980" spans="1:11" s="20" customFormat="1" ht="39.75" customHeight="1" x14ac:dyDescent="0.4">
      <c r="A980" s="19" t="s">
        <v>72</v>
      </c>
      <c r="B980" s="21"/>
      <c r="C980" s="60"/>
      <c r="D980" s="60"/>
      <c r="E980" s="60"/>
      <c r="F980" s="19" t="s">
        <v>74</v>
      </c>
      <c r="G980" s="19"/>
      <c r="H980" s="61"/>
      <c r="I980" s="61"/>
      <c r="J980" s="61"/>
      <c r="K980" s="61"/>
    </row>
    <row r="981" spans="1:11" s="20" customFormat="1" ht="21" customHeight="1" x14ac:dyDescent="0.4">
      <c r="A981" s="19"/>
      <c r="B981" s="21"/>
      <c r="C981" s="51"/>
      <c r="D981" s="51"/>
      <c r="E981" s="51"/>
      <c r="F981" s="19"/>
      <c r="G981" s="19"/>
      <c r="H981" s="52"/>
      <c r="I981" s="52"/>
      <c r="J981" s="52"/>
      <c r="K981" s="52"/>
    </row>
    <row r="982" spans="1:11" s="14" customFormat="1" ht="36.75" customHeight="1" x14ac:dyDescent="0.45">
      <c r="A982" s="15"/>
      <c r="B982" s="67" t="s">
        <v>5</v>
      </c>
      <c r="C982" s="67"/>
      <c r="D982" s="67"/>
      <c r="E982" s="67"/>
      <c r="F982" s="67"/>
      <c r="G982" s="67"/>
      <c r="H982" s="67"/>
      <c r="I982" s="67"/>
      <c r="J982" s="67"/>
      <c r="K982" s="67"/>
    </row>
    <row r="983" spans="1:11" s="14" customFormat="1" ht="31.5" customHeight="1" x14ac:dyDescent="0.4">
      <c r="B983" s="68" t="s">
        <v>22</v>
      </c>
      <c r="C983" s="69"/>
      <c r="D983" s="69"/>
      <c r="E983" s="69"/>
      <c r="F983" s="49" t="s">
        <v>24</v>
      </c>
      <c r="G983" s="70" t="s">
        <v>25</v>
      </c>
      <c r="H983" s="72" t="s">
        <v>27</v>
      </c>
      <c r="I983" s="75" t="s">
        <v>66</v>
      </c>
      <c r="J983" s="76"/>
      <c r="K983" s="76" t="s">
        <v>29</v>
      </c>
    </row>
    <row r="984" spans="1:11" s="14" customFormat="1" ht="31.5" customHeight="1" x14ac:dyDescent="0.4">
      <c r="B984" s="68" t="s">
        <v>76</v>
      </c>
      <c r="C984" s="79"/>
      <c r="D984" s="26" t="s">
        <v>77</v>
      </c>
      <c r="E984" s="27" t="s">
        <v>77</v>
      </c>
      <c r="F984" s="28" t="s">
        <v>23</v>
      </c>
      <c r="G984" s="71"/>
      <c r="H984" s="73"/>
      <c r="I984" s="75"/>
      <c r="J984" s="77"/>
      <c r="K984" s="77"/>
    </row>
    <row r="985" spans="1:11" s="14" customFormat="1" ht="31.5" customHeight="1" x14ac:dyDescent="0.4">
      <c r="B985" s="80">
        <v>0.1</v>
      </c>
      <c r="C985" s="80">
        <v>0.1</v>
      </c>
      <c r="D985" s="80">
        <v>0.2</v>
      </c>
      <c r="E985" s="80">
        <v>0.2</v>
      </c>
      <c r="F985" s="90">
        <v>0.4</v>
      </c>
      <c r="G985" s="53" t="s">
        <v>26</v>
      </c>
      <c r="H985" s="74"/>
      <c r="I985" s="70"/>
      <c r="J985" s="77"/>
      <c r="K985" s="77"/>
    </row>
    <row r="986" spans="1:11" s="14" customFormat="1" ht="31.5" customHeight="1" x14ac:dyDescent="0.4">
      <c r="A986" s="23" t="s">
        <v>4</v>
      </c>
      <c r="B986" s="81"/>
      <c r="C986" s="81"/>
      <c r="D986" s="81"/>
      <c r="E986" s="81"/>
      <c r="F986" s="91"/>
      <c r="G986" s="29">
        <v>1</v>
      </c>
      <c r="H986" s="28" t="s">
        <v>28</v>
      </c>
      <c r="I986" s="43" t="s">
        <v>65</v>
      </c>
      <c r="J986" s="48" t="s">
        <v>67</v>
      </c>
      <c r="K986" s="78"/>
    </row>
    <row r="987" spans="1:11" s="3" customFormat="1" ht="41.25" customHeight="1" x14ac:dyDescent="0.4">
      <c r="A987" s="30" t="s">
        <v>6</v>
      </c>
      <c r="B987" s="33">
        <v>7</v>
      </c>
      <c r="C987" s="33">
        <v>8</v>
      </c>
      <c r="D987" s="33">
        <v>7</v>
      </c>
      <c r="E987" s="33">
        <v>8</v>
      </c>
      <c r="F987" s="33">
        <v>22</v>
      </c>
      <c r="G987" s="31">
        <f t="shared" ref="G987:G1003" si="48">SUM(B987:F987)</f>
        <v>52</v>
      </c>
      <c r="H987" s="38">
        <v>60</v>
      </c>
      <c r="I987" s="31" t="s">
        <v>119</v>
      </c>
      <c r="J987" s="33" t="str">
        <f>IF(G987&gt;=70,"A",IF(G987&gt;=60,"B",IF(G987&gt;=50,"C",IF(G987&gt;=45,"D",IF(G987&gt;=40,"E",IF(G987&lt;=39,"F"))))))</f>
        <v>C</v>
      </c>
      <c r="K987" s="34" t="str">
        <f>IF(G987&gt;=70,"EXCELLENT",IF(G987&gt;=60,"V.GOOD",IF(G987&gt;=50,"GOOD",IF(G987&gt;=45,"PASS",IF(G987&gt;=40,"FAIR",IF(G987&lt;=39,"FAIL"))))))</f>
        <v>GOOD</v>
      </c>
    </row>
    <row r="988" spans="1:11" s="3" customFormat="1" ht="41.25" customHeight="1" x14ac:dyDescent="0.4">
      <c r="A988" s="30" t="s">
        <v>7</v>
      </c>
      <c r="B988" s="33">
        <v>7</v>
      </c>
      <c r="C988" s="33">
        <v>5</v>
      </c>
      <c r="D988" s="33">
        <v>7</v>
      </c>
      <c r="E988" s="33">
        <v>7</v>
      </c>
      <c r="F988" s="33">
        <v>14</v>
      </c>
      <c r="G988" s="33">
        <f t="shared" si="48"/>
        <v>40</v>
      </c>
      <c r="H988" s="39">
        <v>58.9</v>
      </c>
      <c r="I988" s="33" t="s">
        <v>121</v>
      </c>
      <c r="J988" s="33" t="str">
        <f t="shared" ref="J988:J1003" si="49">IF(G988&gt;=70,"A",IF(G988&gt;=60,"B",IF(G988&gt;=50,"C",IF(G988&gt;=45,"D",IF(G988&gt;=40,"E",IF(G988&lt;=39,"F"))))))</f>
        <v>E</v>
      </c>
      <c r="K988" s="34" t="str">
        <f t="shared" ref="K988:K1003" si="50">IF(G988&gt;=70,"EXCELLENT",IF(G988&gt;=60,"V.GOOD",IF(G988&gt;=50,"GOOD",IF(G988&gt;=45,"PASS",IF(G988&gt;=40,"FAIR",IF(G988&lt;=39,"FAIL"))))))</f>
        <v>FAIR</v>
      </c>
    </row>
    <row r="989" spans="1:11" s="3" customFormat="1" ht="41.25" customHeight="1" x14ac:dyDescent="0.4">
      <c r="A989" s="30" t="s">
        <v>8</v>
      </c>
      <c r="B989" s="33">
        <v>8</v>
      </c>
      <c r="C989" s="33">
        <v>8</v>
      </c>
      <c r="D989" s="33">
        <v>2</v>
      </c>
      <c r="E989" s="33">
        <v>18</v>
      </c>
      <c r="F989" s="33">
        <v>18</v>
      </c>
      <c r="G989" s="33">
        <f t="shared" si="48"/>
        <v>54</v>
      </c>
      <c r="H989" s="39">
        <v>51.8</v>
      </c>
      <c r="I989" s="33" t="s">
        <v>120</v>
      </c>
      <c r="J989" s="33" t="str">
        <f t="shared" si="49"/>
        <v>C</v>
      </c>
      <c r="K989" s="34" t="str">
        <f t="shared" si="50"/>
        <v>GOOD</v>
      </c>
    </row>
    <row r="990" spans="1:11" s="3" customFormat="1" ht="41.25" customHeight="1" x14ac:dyDescent="0.4">
      <c r="A990" s="30" t="s">
        <v>13</v>
      </c>
      <c r="B990" s="33">
        <v>10</v>
      </c>
      <c r="C990" s="33">
        <v>10</v>
      </c>
      <c r="D990" s="33">
        <v>13</v>
      </c>
      <c r="E990" s="33">
        <v>14</v>
      </c>
      <c r="F990" s="33">
        <v>23</v>
      </c>
      <c r="G990" s="33">
        <f t="shared" si="48"/>
        <v>70</v>
      </c>
      <c r="H990" s="39">
        <v>72.599999999999994</v>
      </c>
      <c r="I990" s="33" t="s">
        <v>119</v>
      </c>
      <c r="J990" s="33" t="str">
        <f t="shared" si="49"/>
        <v>A</v>
      </c>
      <c r="K990" s="34" t="str">
        <f t="shared" si="50"/>
        <v>EXCELLENT</v>
      </c>
    </row>
    <row r="991" spans="1:11" s="3" customFormat="1" ht="41.25" customHeight="1" x14ac:dyDescent="0.4">
      <c r="A991" s="30" t="s">
        <v>9</v>
      </c>
      <c r="B991" s="33">
        <v>6</v>
      </c>
      <c r="C991" s="33">
        <v>5</v>
      </c>
      <c r="D991" s="33">
        <v>5</v>
      </c>
      <c r="E991" s="33">
        <v>9</v>
      </c>
      <c r="F991" s="33">
        <v>36</v>
      </c>
      <c r="G991" s="33">
        <f t="shared" si="48"/>
        <v>61</v>
      </c>
      <c r="H991" s="39">
        <v>71.400000000000006</v>
      </c>
      <c r="I991" s="33" t="s">
        <v>120</v>
      </c>
      <c r="J991" s="33" t="str">
        <f t="shared" si="49"/>
        <v>B</v>
      </c>
      <c r="K991" s="34" t="str">
        <f t="shared" si="50"/>
        <v>V.GOOD</v>
      </c>
    </row>
    <row r="992" spans="1:11" s="3" customFormat="1" ht="41.25" customHeight="1" x14ac:dyDescent="0.4">
      <c r="A992" s="30" t="s">
        <v>82</v>
      </c>
      <c r="B992" s="33">
        <v>6</v>
      </c>
      <c r="C992" s="33">
        <v>7</v>
      </c>
      <c r="D992" s="33">
        <v>9</v>
      </c>
      <c r="E992" s="33">
        <v>6</v>
      </c>
      <c r="F992" s="33">
        <v>17</v>
      </c>
      <c r="G992" s="33">
        <f t="shared" si="48"/>
        <v>45</v>
      </c>
      <c r="H992" s="39">
        <v>54.7</v>
      </c>
      <c r="I992" s="33" t="s">
        <v>120</v>
      </c>
      <c r="J992" s="33" t="str">
        <f t="shared" si="49"/>
        <v>D</v>
      </c>
      <c r="K992" s="34" t="str">
        <f t="shared" si="50"/>
        <v>PASS</v>
      </c>
    </row>
    <row r="993" spans="1:11" s="3" customFormat="1" ht="41.25" customHeight="1" x14ac:dyDescent="0.4">
      <c r="A993" s="30" t="s">
        <v>21</v>
      </c>
      <c r="B993" s="33">
        <v>10</v>
      </c>
      <c r="C993" s="33">
        <v>9</v>
      </c>
      <c r="D993" s="33">
        <v>8</v>
      </c>
      <c r="E993" s="33">
        <v>10</v>
      </c>
      <c r="F993" s="33">
        <v>17</v>
      </c>
      <c r="G993" s="33">
        <f t="shared" si="48"/>
        <v>54</v>
      </c>
      <c r="H993" s="39">
        <v>65.2</v>
      </c>
      <c r="I993" s="33" t="s">
        <v>122</v>
      </c>
      <c r="J993" s="33" t="str">
        <f t="shared" si="49"/>
        <v>C</v>
      </c>
      <c r="K993" s="34" t="str">
        <f t="shared" si="50"/>
        <v>GOOD</v>
      </c>
    </row>
    <row r="994" spans="1:11" s="3" customFormat="1" ht="41.25" customHeight="1" x14ac:dyDescent="0.4">
      <c r="A994" s="30" t="s">
        <v>10</v>
      </c>
      <c r="B994" s="33">
        <v>5</v>
      </c>
      <c r="C994" s="33">
        <v>8</v>
      </c>
      <c r="D994" s="33">
        <v>16</v>
      </c>
      <c r="E994" s="33">
        <v>12</v>
      </c>
      <c r="F994" s="33">
        <v>25</v>
      </c>
      <c r="G994" s="33">
        <f t="shared" si="48"/>
        <v>66</v>
      </c>
      <c r="H994" s="39">
        <v>71.25</v>
      </c>
      <c r="I994" s="33" t="s">
        <v>117</v>
      </c>
      <c r="J994" s="33" t="str">
        <f t="shared" si="49"/>
        <v>B</v>
      </c>
      <c r="K994" s="34" t="str">
        <f t="shared" si="50"/>
        <v>V.GOOD</v>
      </c>
    </row>
    <row r="995" spans="1:11" s="3" customFormat="1" ht="41.25" customHeight="1" x14ac:dyDescent="0.4">
      <c r="A995" s="30" t="s">
        <v>12</v>
      </c>
      <c r="B995" s="33">
        <v>8</v>
      </c>
      <c r="C995" s="33">
        <v>9</v>
      </c>
      <c r="D995" s="33">
        <v>17</v>
      </c>
      <c r="E995" s="33">
        <v>17</v>
      </c>
      <c r="F995" s="33">
        <v>27</v>
      </c>
      <c r="G995" s="33">
        <f t="shared" si="48"/>
        <v>78</v>
      </c>
      <c r="H995" s="39">
        <v>79.5</v>
      </c>
      <c r="I995" s="33" t="s">
        <v>119</v>
      </c>
      <c r="J995" s="33" t="str">
        <f t="shared" si="49"/>
        <v>A</v>
      </c>
      <c r="K995" s="34" t="str">
        <f t="shared" si="50"/>
        <v>EXCELLENT</v>
      </c>
    </row>
    <row r="996" spans="1:11" s="3" customFormat="1" ht="41.25" customHeight="1" x14ac:dyDescent="0.4">
      <c r="A996" s="30" t="s">
        <v>11</v>
      </c>
      <c r="B996" s="33">
        <v>7</v>
      </c>
      <c r="C996" s="33">
        <v>8</v>
      </c>
      <c r="D996" s="33">
        <v>15</v>
      </c>
      <c r="E996" s="33">
        <v>15</v>
      </c>
      <c r="F996" s="33">
        <v>15</v>
      </c>
      <c r="G996" s="33">
        <f t="shared" si="48"/>
        <v>60</v>
      </c>
      <c r="H996" s="39">
        <v>66.08</v>
      </c>
      <c r="I996" s="33" t="s">
        <v>119</v>
      </c>
      <c r="J996" s="33" t="str">
        <f t="shared" si="49"/>
        <v>B</v>
      </c>
      <c r="K996" s="34" t="str">
        <f t="shared" si="50"/>
        <v>V.GOOD</v>
      </c>
    </row>
    <row r="997" spans="1:11" s="3" customFormat="1" ht="41.25" customHeight="1" x14ac:dyDescent="0.4">
      <c r="A997" s="30" t="s">
        <v>14</v>
      </c>
      <c r="B997" s="33">
        <v>5</v>
      </c>
      <c r="C997" s="33">
        <v>10</v>
      </c>
      <c r="D997" s="33">
        <v>12</v>
      </c>
      <c r="E997" s="33">
        <v>10</v>
      </c>
      <c r="F997" s="33">
        <v>23</v>
      </c>
      <c r="G997" s="33">
        <f t="shared" si="48"/>
        <v>60</v>
      </c>
      <c r="H997" s="39">
        <v>69.5</v>
      </c>
      <c r="I997" s="33" t="s">
        <v>123</v>
      </c>
      <c r="J997" s="33" t="str">
        <f t="shared" si="49"/>
        <v>B</v>
      </c>
      <c r="K997" s="34" t="str">
        <f t="shared" si="50"/>
        <v>V.GOOD</v>
      </c>
    </row>
    <row r="998" spans="1:11" s="3" customFormat="1" ht="41.25" customHeight="1" x14ac:dyDescent="0.4">
      <c r="A998" s="30" t="s">
        <v>15</v>
      </c>
      <c r="B998" s="33">
        <v>3</v>
      </c>
      <c r="C998" s="33">
        <v>2</v>
      </c>
      <c r="D998" s="33">
        <v>8</v>
      </c>
      <c r="E998" s="33">
        <v>6</v>
      </c>
      <c r="F998" s="33">
        <v>31</v>
      </c>
      <c r="G998" s="33">
        <f t="shared" si="48"/>
        <v>50</v>
      </c>
      <c r="H998" s="39">
        <v>61.75</v>
      </c>
      <c r="I998" s="33" t="s">
        <v>120</v>
      </c>
      <c r="J998" s="33" t="str">
        <f t="shared" si="49"/>
        <v>C</v>
      </c>
      <c r="K998" s="34" t="str">
        <f t="shared" si="50"/>
        <v>GOOD</v>
      </c>
    </row>
    <row r="999" spans="1:11" s="3" customFormat="1" ht="41.25" customHeight="1" x14ac:dyDescent="0.4">
      <c r="A999" s="30" t="s">
        <v>16</v>
      </c>
      <c r="B999" s="33">
        <v>5</v>
      </c>
      <c r="C999" s="33">
        <v>7</v>
      </c>
      <c r="D999" s="33">
        <v>10</v>
      </c>
      <c r="E999" s="33">
        <v>5</v>
      </c>
      <c r="F999" s="33">
        <v>20</v>
      </c>
      <c r="G999" s="33">
        <f t="shared" si="48"/>
        <v>47</v>
      </c>
      <c r="H999" s="39">
        <v>61.17</v>
      </c>
      <c r="I999" s="33" t="s">
        <v>121</v>
      </c>
      <c r="J999" s="33" t="str">
        <f t="shared" si="49"/>
        <v>D</v>
      </c>
      <c r="K999" s="34" t="str">
        <f t="shared" si="50"/>
        <v>PASS</v>
      </c>
    </row>
    <row r="1000" spans="1:11" s="3" customFormat="1" ht="41.25" customHeight="1" x14ac:dyDescent="0.4">
      <c r="A1000" s="30" t="s">
        <v>17</v>
      </c>
      <c r="B1000" s="33">
        <v>7</v>
      </c>
      <c r="C1000" s="33">
        <v>6</v>
      </c>
      <c r="D1000" s="33">
        <v>12</v>
      </c>
      <c r="E1000" s="33">
        <v>12</v>
      </c>
      <c r="F1000" s="33">
        <v>16</v>
      </c>
      <c r="G1000" s="33">
        <f t="shared" si="48"/>
        <v>53</v>
      </c>
      <c r="H1000" s="39">
        <v>62.6</v>
      </c>
      <c r="I1000" s="33" t="s">
        <v>119</v>
      </c>
      <c r="J1000" s="33" t="str">
        <f t="shared" si="49"/>
        <v>C</v>
      </c>
      <c r="K1000" s="34" t="str">
        <f t="shared" si="50"/>
        <v>GOOD</v>
      </c>
    </row>
    <row r="1001" spans="1:11" s="3" customFormat="1" ht="41.25" customHeight="1" x14ac:dyDescent="0.4">
      <c r="A1001" s="30" t="s">
        <v>18</v>
      </c>
      <c r="B1001" s="33">
        <v>8</v>
      </c>
      <c r="C1001" s="33">
        <v>8</v>
      </c>
      <c r="D1001" s="33">
        <v>2</v>
      </c>
      <c r="E1001" s="33">
        <v>18</v>
      </c>
      <c r="F1001" s="33">
        <v>18</v>
      </c>
      <c r="G1001" s="33">
        <f t="shared" si="48"/>
        <v>54</v>
      </c>
      <c r="H1001" s="39">
        <v>70</v>
      </c>
      <c r="I1001" s="33" t="s">
        <v>120</v>
      </c>
      <c r="J1001" s="33" t="str">
        <f t="shared" si="49"/>
        <v>C</v>
      </c>
      <c r="K1001" s="34" t="str">
        <f t="shared" si="50"/>
        <v>GOOD</v>
      </c>
    </row>
    <row r="1002" spans="1:11" s="3" customFormat="1" ht="41.25" customHeight="1" x14ac:dyDescent="0.4">
      <c r="A1002" s="30" t="s">
        <v>19</v>
      </c>
      <c r="B1002" s="33">
        <v>3</v>
      </c>
      <c r="C1002" s="33">
        <v>2</v>
      </c>
      <c r="D1002" s="33">
        <v>14</v>
      </c>
      <c r="E1002" s="33">
        <v>10</v>
      </c>
      <c r="F1002" s="33">
        <v>15</v>
      </c>
      <c r="G1002" s="33">
        <f t="shared" si="48"/>
        <v>44</v>
      </c>
      <c r="H1002" s="39">
        <v>69.25</v>
      </c>
      <c r="I1002" s="33" t="s">
        <v>122</v>
      </c>
      <c r="J1002" s="33" t="str">
        <f t="shared" si="49"/>
        <v>E</v>
      </c>
      <c r="K1002" s="34" t="str">
        <f t="shared" si="50"/>
        <v>FAIR</v>
      </c>
    </row>
    <row r="1003" spans="1:11" s="3" customFormat="1" ht="41.25" customHeight="1" x14ac:dyDescent="0.4">
      <c r="A1003" s="30" t="s">
        <v>20</v>
      </c>
      <c r="B1003" s="33">
        <v>10</v>
      </c>
      <c r="C1003" s="33">
        <v>10</v>
      </c>
      <c r="D1003" s="33">
        <v>10</v>
      </c>
      <c r="E1003" s="33">
        <v>10</v>
      </c>
      <c r="F1003" s="33">
        <v>19</v>
      </c>
      <c r="G1003" s="33">
        <f t="shared" si="48"/>
        <v>59</v>
      </c>
      <c r="H1003" s="39">
        <v>67</v>
      </c>
      <c r="I1003" s="33" t="s">
        <v>120</v>
      </c>
      <c r="J1003" s="33" t="str">
        <f t="shared" si="49"/>
        <v>C</v>
      </c>
      <c r="K1003" s="34" t="str">
        <f t="shared" si="50"/>
        <v>GOOD</v>
      </c>
    </row>
    <row r="1004" spans="1:11" s="3" customFormat="1" ht="41.25" customHeight="1" x14ac:dyDescent="0.4">
      <c r="A1004" s="4"/>
      <c r="B1004" s="33"/>
      <c r="C1004" s="33"/>
      <c r="D1004" s="33"/>
      <c r="E1004" s="33"/>
      <c r="F1004" s="33"/>
      <c r="G1004" s="25"/>
      <c r="H1004" s="25"/>
      <c r="I1004" s="25"/>
      <c r="J1004" s="25"/>
      <c r="K1004" s="35"/>
    </row>
    <row r="1005" spans="1:11" s="3" customFormat="1" ht="41.25" customHeight="1" x14ac:dyDescent="0.4">
      <c r="A1005" s="4"/>
      <c r="B1005" s="33"/>
      <c r="C1005" s="33"/>
      <c r="D1005" s="33"/>
      <c r="E1005" s="33"/>
      <c r="F1005" s="33"/>
      <c r="G1005" s="25"/>
      <c r="H1005" s="25"/>
      <c r="I1005" s="25"/>
      <c r="J1005" s="25"/>
      <c r="K1005" s="35"/>
    </row>
    <row r="1006" spans="1:11" s="3" customFormat="1" ht="31.5" customHeight="1" x14ac:dyDescent="0.35">
      <c r="A1006" s="5"/>
    </row>
    <row r="1007" spans="1:11" s="3" customFormat="1" ht="31.5" customHeight="1" x14ac:dyDescent="0.45">
      <c r="A1007" s="56" t="s">
        <v>58</v>
      </c>
      <c r="B1007" s="36">
        <f>SUM(G987:G1003)</f>
        <v>947</v>
      </c>
      <c r="C1007" s="22"/>
      <c r="D1007" s="22"/>
      <c r="E1007" s="37"/>
      <c r="F1007" s="83" t="s">
        <v>49</v>
      </c>
      <c r="G1007" s="83"/>
      <c r="H1007" s="93">
        <f>B1007</f>
        <v>947</v>
      </c>
      <c r="I1007" s="93"/>
      <c r="J1007" s="92" t="s">
        <v>50</v>
      </c>
      <c r="K1007" s="82">
        <f>H1007/17</f>
        <v>55.705882352941174</v>
      </c>
    </row>
    <row r="1008" spans="1:11" s="3" customFormat="1" ht="31.5" customHeight="1" x14ac:dyDescent="0.45">
      <c r="A1008" s="37"/>
      <c r="B1008" s="22"/>
      <c r="C1008" s="22"/>
      <c r="D1008" s="22"/>
      <c r="E1008" s="37"/>
      <c r="F1008" s="37"/>
      <c r="G1008" s="37"/>
      <c r="H1008" s="83">
        <v>17</v>
      </c>
      <c r="I1008" s="83"/>
      <c r="J1008" s="92"/>
      <c r="K1008" s="82"/>
    </row>
    <row r="1009" spans="1:11" s="3" customFormat="1" ht="31.5" customHeight="1" x14ac:dyDescent="0.35">
      <c r="A1009" s="5"/>
      <c r="E1009" s="5"/>
      <c r="F1009" s="5"/>
      <c r="G1009" s="5"/>
      <c r="H1009" s="8"/>
      <c r="I1009" s="8"/>
      <c r="J1009" s="12"/>
      <c r="K1009" s="13"/>
    </row>
    <row r="1010" spans="1:11" s="3" customFormat="1" ht="33.75" customHeight="1" x14ac:dyDescent="0.35">
      <c r="A1010" s="5"/>
      <c r="D1010" s="84" t="s">
        <v>30</v>
      </c>
      <c r="E1010" s="84"/>
      <c r="F1010" s="84"/>
      <c r="G1010" s="84"/>
      <c r="H1010" s="84"/>
    </row>
    <row r="1011" spans="1:11" s="3" customFormat="1" ht="33.75" customHeight="1" x14ac:dyDescent="0.35">
      <c r="A1011" s="85" t="s">
        <v>31</v>
      </c>
      <c r="B1011" s="86"/>
      <c r="C1011" s="87"/>
      <c r="D1011" s="41" t="s">
        <v>44</v>
      </c>
      <c r="E1011" s="41" t="s">
        <v>45</v>
      </c>
      <c r="F1011" s="41" t="s">
        <v>46</v>
      </c>
      <c r="G1011" s="41" t="s">
        <v>47</v>
      </c>
      <c r="H1011" s="41" t="s">
        <v>48</v>
      </c>
      <c r="I1011" s="9"/>
      <c r="J1011" s="11" t="s">
        <v>51</v>
      </c>
      <c r="K1011" s="5"/>
    </row>
    <row r="1012" spans="1:11" s="3" customFormat="1" ht="33.75" customHeight="1" x14ac:dyDescent="0.35">
      <c r="A1012" s="88" t="s">
        <v>32</v>
      </c>
      <c r="B1012" s="88"/>
      <c r="C1012" s="88"/>
      <c r="D1012" s="7"/>
      <c r="E1012" s="45" t="s">
        <v>124</v>
      </c>
      <c r="F1012" s="7"/>
      <c r="G1012" s="7"/>
      <c r="H1012" s="7"/>
      <c r="I1012" s="9"/>
      <c r="J1012" s="5" t="s">
        <v>52</v>
      </c>
      <c r="K1012" s="5"/>
    </row>
    <row r="1013" spans="1:11" s="3" customFormat="1" ht="33.75" customHeight="1" x14ac:dyDescent="0.35">
      <c r="A1013" s="88" t="s">
        <v>33</v>
      </c>
      <c r="B1013" s="88"/>
      <c r="C1013" s="88"/>
      <c r="D1013" s="7"/>
      <c r="E1013" s="45" t="s">
        <v>124</v>
      </c>
      <c r="F1013" s="7"/>
      <c r="G1013" s="7"/>
      <c r="H1013" s="7"/>
      <c r="I1013" s="9"/>
      <c r="J1013" s="5" t="s">
        <v>53</v>
      </c>
      <c r="K1013" s="5"/>
    </row>
    <row r="1014" spans="1:11" s="3" customFormat="1" ht="33.75" customHeight="1" x14ac:dyDescent="0.35">
      <c r="A1014" s="88" t="s">
        <v>34</v>
      </c>
      <c r="B1014" s="88"/>
      <c r="C1014" s="88"/>
      <c r="D1014" s="7"/>
      <c r="E1014" s="45" t="s">
        <v>124</v>
      </c>
      <c r="F1014" s="7"/>
      <c r="G1014" s="7"/>
      <c r="H1014" s="7"/>
      <c r="I1014" s="9"/>
      <c r="J1014" s="5" t="s">
        <v>54</v>
      </c>
      <c r="K1014" s="5"/>
    </row>
    <row r="1015" spans="1:11" s="3" customFormat="1" ht="33.75" customHeight="1" x14ac:dyDescent="0.35">
      <c r="A1015" s="88" t="s">
        <v>35</v>
      </c>
      <c r="B1015" s="88"/>
      <c r="C1015" s="88"/>
      <c r="D1015" s="7"/>
      <c r="E1015" s="45" t="s">
        <v>124</v>
      </c>
      <c r="F1015" s="7"/>
      <c r="G1015" s="7"/>
      <c r="H1015" s="7"/>
      <c r="I1015" s="9"/>
      <c r="J1015" s="5" t="s">
        <v>55</v>
      </c>
      <c r="K1015" s="5"/>
    </row>
    <row r="1016" spans="1:11" s="3" customFormat="1" ht="33.75" customHeight="1" x14ac:dyDescent="0.35">
      <c r="A1016" s="88" t="s">
        <v>36</v>
      </c>
      <c r="B1016" s="88"/>
      <c r="C1016" s="88"/>
      <c r="D1016" s="7"/>
      <c r="E1016" s="45" t="s">
        <v>124</v>
      </c>
      <c r="F1016" s="7"/>
      <c r="G1016" s="7"/>
      <c r="H1016" s="7"/>
      <c r="I1016" s="9"/>
      <c r="J1016" s="5" t="s">
        <v>56</v>
      </c>
      <c r="K1016" s="5"/>
    </row>
    <row r="1017" spans="1:11" s="3" customFormat="1" ht="33.75" customHeight="1" x14ac:dyDescent="0.35">
      <c r="A1017" s="88" t="s">
        <v>37</v>
      </c>
      <c r="B1017" s="88"/>
      <c r="C1017" s="88"/>
      <c r="D1017" s="45" t="s">
        <v>124</v>
      </c>
      <c r="E1017" s="45"/>
      <c r="F1017" s="7"/>
      <c r="G1017" s="7"/>
      <c r="H1017" s="7"/>
      <c r="I1017" s="9"/>
      <c r="J1017" s="5" t="s">
        <v>57</v>
      </c>
      <c r="K1017" s="5"/>
    </row>
    <row r="1018" spans="1:11" s="3" customFormat="1" ht="33.75" customHeight="1" x14ac:dyDescent="0.35">
      <c r="A1018" s="88" t="s">
        <v>38</v>
      </c>
      <c r="B1018" s="88"/>
      <c r="C1018" s="88"/>
      <c r="D1018" s="45" t="s">
        <v>124</v>
      </c>
      <c r="E1018" s="45"/>
      <c r="F1018" s="7"/>
      <c r="G1018" s="7"/>
      <c r="H1018" s="7"/>
      <c r="I1018" s="9"/>
    </row>
    <row r="1019" spans="1:11" s="3" customFormat="1" ht="33.75" customHeight="1" x14ac:dyDescent="0.35">
      <c r="A1019" s="88" t="s">
        <v>39</v>
      </c>
      <c r="B1019" s="88"/>
      <c r="C1019" s="88"/>
      <c r="D1019" s="45" t="s">
        <v>124</v>
      </c>
      <c r="E1019" s="45"/>
      <c r="F1019" s="7"/>
      <c r="G1019" s="7"/>
      <c r="H1019" s="7"/>
      <c r="I1019" s="9"/>
    </row>
    <row r="1020" spans="1:11" s="3" customFormat="1" ht="33.75" customHeight="1" x14ac:dyDescent="0.35">
      <c r="A1020" s="88" t="s">
        <v>40</v>
      </c>
      <c r="B1020" s="88"/>
      <c r="C1020" s="88"/>
      <c r="D1020" s="7"/>
      <c r="E1020" s="45" t="s">
        <v>124</v>
      </c>
      <c r="F1020" s="7"/>
      <c r="G1020" s="7"/>
      <c r="H1020" s="7"/>
      <c r="I1020" s="9"/>
    </row>
    <row r="1021" spans="1:11" s="3" customFormat="1" ht="33.75" customHeight="1" x14ac:dyDescent="0.35">
      <c r="A1021" s="88" t="s">
        <v>41</v>
      </c>
      <c r="B1021" s="88"/>
      <c r="C1021" s="88"/>
      <c r="D1021" s="45" t="s">
        <v>124</v>
      </c>
      <c r="E1021" s="45"/>
      <c r="F1021" s="7"/>
      <c r="G1021" s="7"/>
      <c r="H1021" s="7"/>
      <c r="I1021" s="9"/>
    </row>
    <row r="1022" spans="1:11" s="3" customFormat="1" ht="33.75" customHeight="1" x14ac:dyDescent="0.35">
      <c r="A1022" s="88" t="s">
        <v>42</v>
      </c>
      <c r="B1022" s="88"/>
      <c r="C1022" s="88"/>
      <c r="D1022" s="45" t="s">
        <v>124</v>
      </c>
      <c r="E1022" s="45"/>
      <c r="F1022" s="7"/>
      <c r="G1022" s="7"/>
      <c r="H1022" s="7"/>
      <c r="I1022" s="9"/>
    </row>
    <row r="1023" spans="1:11" s="3" customFormat="1" ht="33.75" customHeight="1" x14ac:dyDescent="0.35">
      <c r="A1023" s="88" t="s">
        <v>43</v>
      </c>
      <c r="B1023" s="88"/>
      <c r="C1023" s="88"/>
      <c r="D1023" s="7"/>
      <c r="E1023" s="45" t="s">
        <v>124</v>
      </c>
      <c r="F1023" s="7"/>
      <c r="G1023" s="7"/>
      <c r="H1023" s="7"/>
      <c r="I1023" s="9"/>
    </row>
    <row r="1024" spans="1:11" ht="54.75" customHeight="1" x14ac:dyDescent="0.25"/>
    <row r="1025" spans="1:11" s="15" customFormat="1" ht="36.75" customHeight="1" x14ac:dyDescent="0.4">
      <c r="A1025" s="17" t="s">
        <v>78</v>
      </c>
      <c r="B1025" s="17"/>
      <c r="C1025" s="94" t="s">
        <v>125</v>
      </c>
      <c r="D1025" s="94"/>
      <c r="E1025" s="94"/>
      <c r="F1025" s="94"/>
      <c r="G1025" s="94"/>
      <c r="H1025" s="94"/>
      <c r="I1025" s="94"/>
      <c r="J1025" s="94"/>
      <c r="K1025" s="16"/>
    </row>
    <row r="1026" spans="1:11" s="15" customFormat="1" ht="42.75" customHeight="1" x14ac:dyDescent="0.4">
      <c r="A1026" s="17" t="s">
        <v>80</v>
      </c>
      <c r="B1026" s="17"/>
      <c r="C1026" s="95" t="s">
        <v>107</v>
      </c>
      <c r="D1026" s="95"/>
      <c r="E1026" s="95"/>
      <c r="F1026" s="95"/>
      <c r="G1026" s="95"/>
      <c r="H1026" s="95"/>
      <c r="I1026" s="16"/>
      <c r="J1026" s="16"/>
      <c r="K1026" s="16"/>
    </row>
    <row r="1027" spans="1:11" s="15" customFormat="1" ht="31.5" customHeight="1" x14ac:dyDescent="0.4">
      <c r="A1027" s="17"/>
      <c r="B1027" s="17"/>
      <c r="C1027" s="18"/>
      <c r="D1027" s="18"/>
      <c r="E1027" s="18"/>
      <c r="F1027" s="18"/>
      <c r="G1027" s="18"/>
      <c r="H1027" s="18"/>
      <c r="I1027" s="16"/>
      <c r="J1027" s="16"/>
      <c r="K1027" s="16"/>
    </row>
    <row r="1028" spans="1:11" s="15" customFormat="1" ht="31.5" customHeight="1" x14ac:dyDescent="0.4">
      <c r="A1028" s="17" t="s">
        <v>81</v>
      </c>
      <c r="B1028" s="17"/>
      <c r="C1028" s="44" t="s">
        <v>134</v>
      </c>
      <c r="D1028" s="44"/>
      <c r="E1028" s="44"/>
      <c r="F1028" s="44"/>
      <c r="G1028" s="44"/>
      <c r="H1028" s="44"/>
      <c r="I1028" s="44"/>
      <c r="J1028" s="44"/>
      <c r="K1028" s="16"/>
    </row>
    <row r="1029" spans="1:11" s="15" customFormat="1" ht="46.5" customHeight="1" x14ac:dyDescent="0.4">
      <c r="A1029" s="17" t="s">
        <v>80</v>
      </c>
      <c r="B1029" s="17"/>
      <c r="C1029" s="95" t="s">
        <v>107</v>
      </c>
      <c r="D1029" s="95"/>
      <c r="E1029" s="95"/>
      <c r="F1029" s="95"/>
      <c r="G1029" s="95"/>
      <c r="H1029" s="95"/>
      <c r="I1029" s="16"/>
      <c r="J1029" s="16"/>
      <c r="K1029" s="16"/>
    </row>
    <row r="1031" spans="1:11" ht="66" customHeight="1" x14ac:dyDescent="0.25">
      <c r="A1031" s="62" t="s">
        <v>0</v>
      </c>
      <c r="B1031" s="62"/>
      <c r="C1031" s="62"/>
      <c r="D1031" s="62"/>
      <c r="E1031" s="62"/>
      <c r="F1031" s="62"/>
      <c r="G1031" s="62"/>
      <c r="H1031" s="62"/>
      <c r="I1031" s="62"/>
      <c r="J1031" s="62"/>
      <c r="K1031" s="62"/>
    </row>
    <row r="1032" spans="1:11" ht="27.75" customHeight="1" x14ac:dyDescent="0.3">
      <c r="A1032" s="63" t="s">
        <v>1</v>
      </c>
      <c r="B1032" s="63"/>
      <c r="C1032" s="63"/>
      <c r="D1032" s="63"/>
      <c r="E1032" s="63"/>
      <c r="F1032" s="63"/>
      <c r="G1032" s="63"/>
      <c r="H1032" s="63"/>
      <c r="I1032" s="63"/>
      <c r="J1032" s="63"/>
      <c r="K1032" s="63"/>
    </row>
    <row r="1033" spans="1:11" ht="46.5" customHeight="1" x14ac:dyDescent="0.25">
      <c r="A1033" s="64" t="s">
        <v>2</v>
      </c>
      <c r="B1033" s="64"/>
      <c r="C1033" s="64"/>
      <c r="D1033" s="64"/>
      <c r="E1033" s="64"/>
      <c r="F1033" s="64"/>
      <c r="G1033" s="64"/>
      <c r="H1033" s="64"/>
      <c r="I1033" s="64"/>
      <c r="J1033" s="64"/>
      <c r="K1033" s="64"/>
    </row>
    <row r="1034" spans="1:11" ht="39" customHeight="1" x14ac:dyDescent="0.55000000000000004">
      <c r="A1034" s="65" t="s">
        <v>3</v>
      </c>
      <c r="B1034" s="65"/>
      <c r="C1034" s="65"/>
      <c r="D1034" s="65"/>
      <c r="E1034" s="65"/>
      <c r="F1034" s="65"/>
      <c r="G1034" s="65"/>
      <c r="H1034" s="65"/>
      <c r="I1034" s="65"/>
      <c r="J1034" s="65"/>
      <c r="K1034" s="65"/>
    </row>
    <row r="1035" spans="1:11" ht="31.5" customHeight="1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</row>
    <row r="1036" spans="1:11" s="20" customFormat="1" ht="31.5" customHeight="1" x14ac:dyDescent="0.4">
      <c r="A1036" s="19" t="s">
        <v>60</v>
      </c>
      <c r="B1036" s="59" t="s">
        <v>108</v>
      </c>
      <c r="C1036" s="59"/>
      <c r="D1036" s="59"/>
      <c r="E1036" s="59"/>
      <c r="F1036" s="59"/>
      <c r="G1036" s="19" t="s">
        <v>59</v>
      </c>
      <c r="H1036" s="47" t="s">
        <v>83</v>
      </c>
      <c r="I1036" s="19" t="s">
        <v>75</v>
      </c>
      <c r="J1036" s="59" t="s">
        <v>109</v>
      </c>
      <c r="K1036" s="59"/>
    </row>
    <row r="1037" spans="1:11" s="20" customFormat="1" ht="31.5" customHeight="1" x14ac:dyDescent="0.4">
      <c r="A1037" s="19" t="s">
        <v>61</v>
      </c>
      <c r="B1037" s="59"/>
      <c r="C1037" s="59"/>
      <c r="D1037" s="19" t="s">
        <v>68</v>
      </c>
      <c r="E1037" s="59"/>
      <c r="F1037" s="59"/>
      <c r="G1037" s="59"/>
      <c r="H1037" s="59"/>
      <c r="I1037" s="19" t="s">
        <v>69</v>
      </c>
      <c r="J1037" s="59" t="s">
        <v>85</v>
      </c>
      <c r="K1037" s="59"/>
    </row>
    <row r="1038" spans="1:11" s="20" customFormat="1" ht="35.25" customHeight="1" x14ac:dyDescent="0.4">
      <c r="A1038" s="19" t="s">
        <v>63</v>
      </c>
      <c r="B1038" s="47" t="s">
        <v>64</v>
      </c>
      <c r="C1038" s="47"/>
      <c r="D1038" s="47"/>
      <c r="E1038" s="55"/>
      <c r="F1038" s="19" t="s">
        <v>62</v>
      </c>
      <c r="H1038" s="47">
        <v>2</v>
      </c>
      <c r="I1038" s="19" t="s">
        <v>70</v>
      </c>
      <c r="J1038" s="59"/>
      <c r="K1038" s="59"/>
    </row>
    <row r="1039" spans="1:11" s="20" customFormat="1" ht="39" customHeight="1" x14ac:dyDescent="0.4">
      <c r="A1039" s="19" t="s">
        <v>71</v>
      </c>
      <c r="B1039" s="21" t="s">
        <v>86</v>
      </c>
      <c r="C1039" s="21"/>
      <c r="D1039" s="21"/>
      <c r="E1039" s="21"/>
      <c r="F1039" s="19" t="s">
        <v>73</v>
      </c>
      <c r="G1039" s="19"/>
      <c r="H1039" s="24" t="s">
        <v>87</v>
      </c>
      <c r="I1039" s="21"/>
      <c r="J1039" s="21"/>
      <c r="K1039" s="21"/>
    </row>
    <row r="1040" spans="1:11" s="20" customFormat="1" ht="39.75" customHeight="1" x14ac:dyDescent="0.4">
      <c r="A1040" s="19" t="s">
        <v>72</v>
      </c>
      <c r="B1040" s="21"/>
      <c r="C1040" s="60"/>
      <c r="D1040" s="60"/>
      <c r="E1040" s="60"/>
      <c r="F1040" s="19" t="s">
        <v>74</v>
      </c>
      <c r="G1040" s="19"/>
      <c r="H1040" s="61"/>
      <c r="I1040" s="61"/>
      <c r="J1040" s="61"/>
      <c r="K1040" s="61"/>
    </row>
    <row r="1041" spans="1:11" s="20" customFormat="1" ht="21" customHeight="1" x14ac:dyDescent="0.4">
      <c r="A1041" s="19"/>
      <c r="B1041" s="21"/>
      <c r="C1041" s="51"/>
      <c r="D1041" s="51"/>
      <c r="E1041" s="51"/>
      <c r="F1041" s="19"/>
      <c r="G1041" s="19"/>
      <c r="H1041" s="52"/>
      <c r="I1041" s="52"/>
      <c r="J1041" s="52"/>
      <c r="K1041" s="52"/>
    </row>
    <row r="1042" spans="1:11" s="14" customFormat="1" ht="36.75" customHeight="1" x14ac:dyDescent="0.45">
      <c r="A1042" s="15"/>
      <c r="B1042" s="67" t="s">
        <v>5</v>
      </c>
      <c r="C1042" s="67"/>
      <c r="D1042" s="67"/>
      <c r="E1042" s="67"/>
      <c r="F1042" s="67"/>
      <c r="G1042" s="67"/>
      <c r="H1042" s="67"/>
      <c r="I1042" s="67"/>
      <c r="J1042" s="67"/>
      <c r="K1042" s="67"/>
    </row>
    <row r="1043" spans="1:11" s="14" customFormat="1" ht="31.5" customHeight="1" x14ac:dyDescent="0.4">
      <c r="B1043" s="68" t="s">
        <v>22</v>
      </c>
      <c r="C1043" s="69"/>
      <c r="D1043" s="69"/>
      <c r="E1043" s="69"/>
      <c r="F1043" s="49" t="s">
        <v>24</v>
      </c>
      <c r="G1043" s="70" t="s">
        <v>25</v>
      </c>
      <c r="H1043" s="72" t="s">
        <v>27</v>
      </c>
      <c r="I1043" s="75" t="s">
        <v>66</v>
      </c>
      <c r="J1043" s="76"/>
      <c r="K1043" s="76" t="s">
        <v>29</v>
      </c>
    </row>
    <row r="1044" spans="1:11" s="14" customFormat="1" ht="31.5" customHeight="1" x14ac:dyDescent="0.4">
      <c r="B1044" s="68" t="s">
        <v>76</v>
      </c>
      <c r="C1044" s="79"/>
      <c r="D1044" s="26" t="s">
        <v>77</v>
      </c>
      <c r="E1044" s="27" t="s">
        <v>77</v>
      </c>
      <c r="F1044" s="28" t="s">
        <v>23</v>
      </c>
      <c r="G1044" s="71"/>
      <c r="H1044" s="73"/>
      <c r="I1044" s="75"/>
      <c r="J1044" s="77"/>
      <c r="K1044" s="77"/>
    </row>
    <row r="1045" spans="1:11" s="14" customFormat="1" ht="31.5" customHeight="1" x14ac:dyDescent="0.4">
      <c r="B1045" s="80">
        <v>0.1</v>
      </c>
      <c r="C1045" s="80">
        <v>0.1</v>
      </c>
      <c r="D1045" s="80">
        <v>0.2</v>
      </c>
      <c r="E1045" s="80">
        <v>0.2</v>
      </c>
      <c r="F1045" s="90">
        <v>0.4</v>
      </c>
      <c r="G1045" s="53" t="s">
        <v>26</v>
      </c>
      <c r="H1045" s="74"/>
      <c r="I1045" s="70"/>
      <c r="J1045" s="77"/>
      <c r="K1045" s="77"/>
    </row>
    <row r="1046" spans="1:11" s="14" customFormat="1" ht="31.5" customHeight="1" x14ac:dyDescent="0.4">
      <c r="A1046" s="23" t="s">
        <v>4</v>
      </c>
      <c r="B1046" s="81"/>
      <c r="C1046" s="81"/>
      <c r="D1046" s="81"/>
      <c r="E1046" s="81"/>
      <c r="F1046" s="91"/>
      <c r="G1046" s="29">
        <v>1</v>
      </c>
      <c r="H1046" s="28" t="s">
        <v>28</v>
      </c>
      <c r="I1046" s="43" t="s">
        <v>65</v>
      </c>
      <c r="J1046" s="48" t="s">
        <v>67</v>
      </c>
      <c r="K1046" s="78"/>
    </row>
    <row r="1047" spans="1:11" s="3" customFormat="1" ht="41.25" customHeight="1" x14ac:dyDescent="0.4">
      <c r="A1047" s="30" t="s">
        <v>6</v>
      </c>
      <c r="B1047" s="33">
        <v>9</v>
      </c>
      <c r="C1047" s="33">
        <v>7</v>
      </c>
      <c r="D1047" s="33">
        <v>10</v>
      </c>
      <c r="E1047" s="33">
        <v>18</v>
      </c>
      <c r="F1047" s="33">
        <v>27</v>
      </c>
      <c r="G1047" s="31">
        <f t="shared" ref="G1047:G1063" si="51">SUM(B1047:F1047)</f>
        <v>71</v>
      </c>
      <c r="H1047" s="38">
        <v>76</v>
      </c>
      <c r="I1047" s="31" t="s">
        <v>112</v>
      </c>
      <c r="J1047" s="33" t="str">
        <f>IF(G1047&gt;=70,"A",IF(G1047&gt;=60,"B",IF(G1047&gt;=50,"C",IF(G1047&gt;=45,"D",IF(G1047&gt;=40,"E",IF(G1047&lt;=39,"F"))))))</f>
        <v>A</v>
      </c>
      <c r="K1047" s="34" t="str">
        <f>IF(G1047&gt;=70,"EXCELLENT",IF(G1047&gt;=60,"V.GOOD",IF(G1047&gt;=50,"GOOD",IF(G1047&gt;=45,"PASS",IF(G1047&gt;=40,"FAIR",IF(G1047&lt;=39,"FAIL"))))))</f>
        <v>EXCELLENT</v>
      </c>
    </row>
    <row r="1048" spans="1:11" s="3" customFormat="1" ht="41.25" customHeight="1" x14ac:dyDescent="0.4">
      <c r="A1048" s="30" t="s">
        <v>7</v>
      </c>
      <c r="B1048" s="33">
        <v>10</v>
      </c>
      <c r="C1048" s="33">
        <v>9</v>
      </c>
      <c r="D1048" s="33">
        <v>17</v>
      </c>
      <c r="E1048" s="33">
        <v>15</v>
      </c>
      <c r="F1048" s="33">
        <v>25</v>
      </c>
      <c r="G1048" s="33">
        <f t="shared" si="51"/>
        <v>76</v>
      </c>
      <c r="H1048" s="39">
        <v>75.5</v>
      </c>
      <c r="I1048" s="33" t="s">
        <v>111</v>
      </c>
      <c r="J1048" s="33" t="str">
        <f t="shared" ref="J1048:J1063" si="52">IF(G1048&gt;=70,"A",IF(G1048&gt;=60,"B",IF(G1048&gt;=50,"C",IF(G1048&gt;=45,"D",IF(G1048&gt;=40,"E",IF(G1048&lt;=39,"F"))))))</f>
        <v>A</v>
      </c>
      <c r="K1048" s="34" t="str">
        <f t="shared" ref="K1048:K1063" si="53">IF(G1048&gt;=70,"EXCELLENT",IF(G1048&gt;=60,"V.GOOD",IF(G1048&gt;=50,"GOOD",IF(G1048&gt;=45,"PASS",IF(G1048&gt;=40,"FAIR",IF(G1048&lt;=39,"FAIL"))))))</f>
        <v>EXCELLENT</v>
      </c>
    </row>
    <row r="1049" spans="1:11" s="3" customFormat="1" ht="41.25" customHeight="1" x14ac:dyDescent="0.4">
      <c r="A1049" s="30" t="s">
        <v>8</v>
      </c>
      <c r="B1049" s="33">
        <v>4</v>
      </c>
      <c r="C1049" s="33">
        <v>8</v>
      </c>
      <c r="D1049" s="33">
        <v>14</v>
      </c>
      <c r="E1049" s="33">
        <v>14</v>
      </c>
      <c r="F1049" s="33">
        <v>23</v>
      </c>
      <c r="G1049" s="33">
        <f t="shared" si="51"/>
        <v>63</v>
      </c>
      <c r="H1049" s="39">
        <v>63.5</v>
      </c>
      <c r="I1049" s="33" t="s">
        <v>112</v>
      </c>
      <c r="J1049" s="33" t="str">
        <f t="shared" si="52"/>
        <v>B</v>
      </c>
      <c r="K1049" s="34" t="str">
        <f t="shared" si="53"/>
        <v>V.GOOD</v>
      </c>
    </row>
    <row r="1050" spans="1:11" s="3" customFormat="1" ht="41.25" customHeight="1" x14ac:dyDescent="0.4">
      <c r="A1050" s="30" t="s">
        <v>13</v>
      </c>
      <c r="B1050" s="33">
        <v>10</v>
      </c>
      <c r="C1050" s="33">
        <v>10</v>
      </c>
      <c r="D1050" s="33">
        <v>15</v>
      </c>
      <c r="E1050" s="33">
        <v>16</v>
      </c>
      <c r="F1050" s="33">
        <v>24</v>
      </c>
      <c r="G1050" s="33">
        <f t="shared" si="51"/>
        <v>75</v>
      </c>
      <c r="H1050" s="39">
        <v>74</v>
      </c>
      <c r="I1050" s="33" t="s">
        <v>111</v>
      </c>
      <c r="J1050" s="33" t="str">
        <f t="shared" si="52"/>
        <v>A</v>
      </c>
      <c r="K1050" s="34" t="str">
        <f t="shared" si="53"/>
        <v>EXCELLENT</v>
      </c>
    </row>
    <row r="1051" spans="1:11" s="3" customFormat="1" ht="41.25" customHeight="1" x14ac:dyDescent="0.4">
      <c r="A1051" s="30" t="s">
        <v>9</v>
      </c>
      <c r="B1051" s="33">
        <v>10</v>
      </c>
      <c r="C1051" s="33">
        <v>10</v>
      </c>
      <c r="D1051" s="33">
        <v>18</v>
      </c>
      <c r="E1051" s="33">
        <v>17</v>
      </c>
      <c r="F1051" s="33">
        <v>30</v>
      </c>
      <c r="G1051" s="33">
        <f t="shared" si="51"/>
        <v>85</v>
      </c>
      <c r="H1051" s="39">
        <v>84.5</v>
      </c>
      <c r="I1051" s="33" t="s">
        <v>111</v>
      </c>
      <c r="J1051" s="33" t="str">
        <f t="shared" si="52"/>
        <v>A</v>
      </c>
      <c r="K1051" s="34" t="str">
        <f t="shared" si="53"/>
        <v>EXCELLENT</v>
      </c>
    </row>
    <row r="1052" spans="1:11" s="3" customFormat="1" ht="41.25" customHeight="1" x14ac:dyDescent="0.4">
      <c r="A1052" s="30" t="s">
        <v>82</v>
      </c>
      <c r="B1052" s="33">
        <v>7</v>
      </c>
      <c r="C1052" s="33">
        <v>8</v>
      </c>
      <c r="D1052" s="33">
        <v>11</v>
      </c>
      <c r="E1052" s="33">
        <v>15</v>
      </c>
      <c r="F1052" s="33">
        <v>31</v>
      </c>
      <c r="G1052" s="33">
        <f t="shared" si="51"/>
        <v>72</v>
      </c>
      <c r="H1052" s="39">
        <v>72</v>
      </c>
      <c r="I1052" s="33" t="s">
        <v>111</v>
      </c>
      <c r="J1052" s="33" t="str">
        <f t="shared" si="52"/>
        <v>A</v>
      </c>
      <c r="K1052" s="34" t="str">
        <f t="shared" si="53"/>
        <v>EXCELLENT</v>
      </c>
    </row>
    <row r="1053" spans="1:11" s="3" customFormat="1" ht="41.25" customHeight="1" x14ac:dyDescent="0.4">
      <c r="A1053" s="30" t="s">
        <v>21</v>
      </c>
      <c r="B1053" s="33">
        <v>10</v>
      </c>
      <c r="C1053" s="33">
        <v>9</v>
      </c>
      <c r="D1053" s="33">
        <v>18</v>
      </c>
      <c r="E1053" s="33">
        <v>18</v>
      </c>
      <c r="F1053" s="33">
        <v>25</v>
      </c>
      <c r="G1053" s="33">
        <f t="shared" si="51"/>
        <v>80</v>
      </c>
      <c r="H1053" s="39">
        <v>82.5</v>
      </c>
      <c r="I1053" s="33" t="s">
        <v>112</v>
      </c>
      <c r="J1053" s="33" t="str">
        <f t="shared" si="52"/>
        <v>A</v>
      </c>
      <c r="K1053" s="34" t="str">
        <f t="shared" si="53"/>
        <v>EXCELLENT</v>
      </c>
    </row>
    <row r="1054" spans="1:11" s="3" customFormat="1" ht="41.25" customHeight="1" x14ac:dyDescent="0.4">
      <c r="A1054" s="30" t="s">
        <v>10</v>
      </c>
      <c r="B1054" s="33">
        <v>7</v>
      </c>
      <c r="C1054" s="33">
        <v>8</v>
      </c>
      <c r="D1054" s="33">
        <v>18</v>
      </c>
      <c r="E1054" s="33">
        <v>19</v>
      </c>
      <c r="F1054" s="33">
        <v>25</v>
      </c>
      <c r="G1054" s="33">
        <f t="shared" si="51"/>
        <v>77</v>
      </c>
      <c r="H1054" s="39">
        <v>81.5</v>
      </c>
      <c r="I1054" s="33" t="s">
        <v>112</v>
      </c>
      <c r="J1054" s="33" t="str">
        <f t="shared" si="52"/>
        <v>A</v>
      </c>
      <c r="K1054" s="34" t="str">
        <f t="shared" si="53"/>
        <v>EXCELLENT</v>
      </c>
    </row>
    <row r="1055" spans="1:11" s="3" customFormat="1" ht="41.25" customHeight="1" x14ac:dyDescent="0.4">
      <c r="A1055" s="30" t="s">
        <v>12</v>
      </c>
      <c r="B1055" s="33">
        <v>8</v>
      </c>
      <c r="C1055" s="33">
        <v>8</v>
      </c>
      <c r="D1055" s="33">
        <v>18</v>
      </c>
      <c r="E1055" s="33">
        <v>15</v>
      </c>
      <c r="F1055" s="33">
        <v>28</v>
      </c>
      <c r="G1055" s="33">
        <f t="shared" si="51"/>
        <v>77</v>
      </c>
      <c r="H1055" s="39">
        <v>83</v>
      </c>
      <c r="I1055" s="33" t="s">
        <v>112</v>
      </c>
      <c r="J1055" s="33" t="str">
        <f t="shared" si="52"/>
        <v>A</v>
      </c>
      <c r="K1055" s="34" t="str">
        <f t="shared" si="53"/>
        <v>EXCELLENT</v>
      </c>
    </row>
    <row r="1056" spans="1:11" s="3" customFormat="1" ht="41.25" customHeight="1" x14ac:dyDescent="0.4">
      <c r="A1056" s="30" t="s">
        <v>11</v>
      </c>
      <c r="B1056" s="33">
        <v>8</v>
      </c>
      <c r="C1056" s="33">
        <v>8</v>
      </c>
      <c r="D1056" s="33">
        <v>15</v>
      </c>
      <c r="E1056" s="33">
        <v>15</v>
      </c>
      <c r="F1056" s="33">
        <v>23</v>
      </c>
      <c r="G1056" s="33">
        <f t="shared" si="51"/>
        <v>69</v>
      </c>
      <c r="H1056" s="39">
        <v>68.5</v>
      </c>
      <c r="I1056" s="33" t="s">
        <v>111</v>
      </c>
      <c r="J1056" s="33" t="str">
        <f t="shared" si="52"/>
        <v>B</v>
      </c>
      <c r="K1056" s="34" t="str">
        <f t="shared" si="53"/>
        <v>V.GOOD</v>
      </c>
    </row>
    <row r="1057" spans="1:11" s="3" customFormat="1" ht="41.25" customHeight="1" x14ac:dyDescent="0.4">
      <c r="A1057" s="30" t="s">
        <v>14</v>
      </c>
      <c r="B1057" s="33">
        <v>8</v>
      </c>
      <c r="C1057" s="33">
        <v>10</v>
      </c>
      <c r="D1057" s="33">
        <v>13</v>
      </c>
      <c r="E1057" s="33">
        <v>16</v>
      </c>
      <c r="F1057" s="33">
        <v>26</v>
      </c>
      <c r="G1057" s="33">
        <f t="shared" si="51"/>
        <v>73</v>
      </c>
      <c r="H1057" s="39">
        <v>75.5</v>
      </c>
      <c r="I1057" s="33" t="s">
        <v>112</v>
      </c>
      <c r="J1057" s="33" t="str">
        <f t="shared" si="52"/>
        <v>A</v>
      </c>
      <c r="K1057" s="34" t="str">
        <f t="shared" si="53"/>
        <v>EXCELLENT</v>
      </c>
    </row>
    <row r="1058" spans="1:11" s="3" customFormat="1" ht="41.25" customHeight="1" x14ac:dyDescent="0.4">
      <c r="A1058" s="30" t="s">
        <v>15</v>
      </c>
      <c r="B1058" s="33">
        <v>5</v>
      </c>
      <c r="C1058" s="33">
        <v>6</v>
      </c>
      <c r="D1058" s="33">
        <v>20</v>
      </c>
      <c r="E1058" s="33">
        <v>17</v>
      </c>
      <c r="F1058" s="33">
        <v>26</v>
      </c>
      <c r="G1058" s="33">
        <f t="shared" si="51"/>
        <v>74</v>
      </c>
      <c r="H1058" s="39">
        <v>73</v>
      </c>
      <c r="I1058" s="33" t="s">
        <v>111</v>
      </c>
      <c r="J1058" s="33" t="str">
        <f t="shared" si="52"/>
        <v>A</v>
      </c>
      <c r="K1058" s="34" t="str">
        <f t="shared" si="53"/>
        <v>EXCELLENT</v>
      </c>
    </row>
    <row r="1059" spans="1:11" s="3" customFormat="1" ht="41.25" customHeight="1" x14ac:dyDescent="0.4">
      <c r="A1059" s="30" t="s">
        <v>16</v>
      </c>
      <c r="B1059" s="33">
        <v>7</v>
      </c>
      <c r="C1059" s="33">
        <v>8</v>
      </c>
      <c r="D1059" s="33">
        <v>20</v>
      </c>
      <c r="E1059" s="33">
        <v>12</v>
      </c>
      <c r="F1059" s="33">
        <v>28</v>
      </c>
      <c r="G1059" s="33">
        <f t="shared" si="51"/>
        <v>75</v>
      </c>
      <c r="H1059" s="39">
        <v>77</v>
      </c>
      <c r="I1059" s="33" t="s">
        <v>112</v>
      </c>
      <c r="J1059" s="33" t="str">
        <f t="shared" si="52"/>
        <v>A</v>
      </c>
      <c r="K1059" s="34" t="str">
        <f t="shared" si="53"/>
        <v>EXCELLENT</v>
      </c>
    </row>
    <row r="1060" spans="1:11" s="3" customFormat="1" ht="41.25" customHeight="1" x14ac:dyDescent="0.4">
      <c r="A1060" s="30" t="s">
        <v>17</v>
      </c>
      <c r="B1060" s="33">
        <v>8</v>
      </c>
      <c r="C1060" s="33">
        <v>8</v>
      </c>
      <c r="D1060" s="33">
        <v>15</v>
      </c>
      <c r="E1060" s="33">
        <v>15</v>
      </c>
      <c r="F1060" s="33">
        <v>30</v>
      </c>
      <c r="G1060" s="33">
        <f t="shared" si="51"/>
        <v>76</v>
      </c>
      <c r="H1060" s="39">
        <v>79.5</v>
      </c>
      <c r="I1060" s="33" t="s">
        <v>112</v>
      </c>
      <c r="J1060" s="33" t="str">
        <f t="shared" si="52"/>
        <v>A</v>
      </c>
      <c r="K1060" s="34" t="str">
        <f t="shared" si="53"/>
        <v>EXCELLENT</v>
      </c>
    </row>
    <row r="1061" spans="1:11" s="3" customFormat="1" ht="41.25" customHeight="1" x14ac:dyDescent="0.4">
      <c r="A1061" s="30" t="s">
        <v>18</v>
      </c>
      <c r="B1061" s="33">
        <v>10</v>
      </c>
      <c r="C1061" s="33">
        <v>10</v>
      </c>
      <c r="D1061" s="33">
        <v>8</v>
      </c>
      <c r="E1061" s="33">
        <v>18</v>
      </c>
      <c r="F1061" s="33">
        <v>22</v>
      </c>
      <c r="G1061" s="33">
        <f t="shared" si="51"/>
        <v>68</v>
      </c>
      <c r="H1061" s="39">
        <v>82</v>
      </c>
      <c r="I1061" s="33" t="s">
        <v>112</v>
      </c>
      <c r="J1061" s="33" t="str">
        <f t="shared" si="52"/>
        <v>B</v>
      </c>
      <c r="K1061" s="34" t="str">
        <f t="shared" si="53"/>
        <v>V.GOOD</v>
      </c>
    </row>
    <row r="1062" spans="1:11" s="3" customFormat="1" ht="41.25" customHeight="1" x14ac:dyDescent="0.4">
      <c r="A1062" s="30" t="s">
        <v>19</v>
      </c>
      <c r="B1062" s="33">
        <v>10</v>
      </c>
      <c r="C1062" s="33">
        <v>10</v>
      </c>
      <c r="D1062" s="33">
        <v>7</v>
      </c>
      <c r="E1062" s="33">
        <v>8</v>
      </c>
      <c r="F1062" s="33">
        <v>33</v>
      </c>
      <c r="G1062" s="33">
        <f t="shared" si="51"/>
        <v>68</v>
      </c>
      <c r="H1062" s="39">
        <v>67.5</v>
      </c>
      <c r="I1062" s="33" t="s">
        <v>111</v>
      </c>
      <c r="J1062" s="33" t="str">
        <f t="shared" si="52"/>
        <v>B</v>
      </c>
      <c r="K1062" s="34" t="str">
        <f t="shared" si="53"/>
        <v>V.GOOD</v>
      </c>
    </row>
    <row r="1063" spans="1:11" s="3" customFormat="1" ht="41.25" customHeight="1" x14ac:dyDescent="0.4">
      <c r="A1063" s="30" t="s">
        <v>20</v>
      </c>
      <c r="B1063" s="33">
        <v>10</v>
      </c>
      <c r="C1063" s="33">
        <v>10</v>
      </c>
      <c r="D1063" s="33">
        <v>13</v>
      </c>
      <c r="E1063" s="33">
        <v>15</v>
      </c>
      <c r="F1063" s="33">
        <v>24</v>
      </c>
      <c r="G1063" s="33">
        <f t="shared" si="51"/>
        <v>72</v>
      </c>
      <c r="H1063" s="39">
        <v>80.5</v>
      </c>
      <c r="I1063" s="33" t="s">
        <v>112</v>
      </c>
      <c r="J1063" s="33" t="str">
        <f t="shared" si="52"/>
        <v>A</v>
      </c>
      <c r="K1063" s="34" t="str">
        <f t="shared" si="53"/>
        <v>EXCELLENT</v>
      </c>
    </row>
    <row r="1064" spans="1:11" s="3" customFormat="1" ht="41.25" customHeight="1" x14ac:dyDescent="0.4">
      <c r="A1064" s="4"/>
      <c r="B1064" s="33"/>
      <c r="C1064" s="33"/>
      <c r="D1064" s="33"/>
      <c r="E1064" s="33"/>
      <c r="F1064" s="33"/>
      <c r="G1064" s="25"/>
      <c r="H1064" s="33"/>
      <c r="I1064" s="33"/>
      <c r="J1064" s="25"/>
      <c r="K1064" s="35"/>
    </row>
    <row r="1065" spans="1:11" s="3" customFormat="1" ht="41.25" customHeight="1" x14ac:dyDescent="0.4">
      <c r="A1065" s="4"/>
      <c r="B1065" s="33"/>
      <c r="C1065" s="33"/>
      <c r="D1065" s="33"/>
      <c r="E1065" s="33"/>
      <c r="F1065" s="33"/>
      <c r="G1065" s="25"/>
      <c r="H1065" s="33"/>
      <c r="I1065" s="33"/>
      <c r="J1065" s="25"/>
      <c r="K1065" s="35"/>
    </row>
    <row r="1066" spans="1:11" s="3" customFormat="1" ht="31.5" customHeight="1" x14ac:dyDescent="0.35">
      <c r="A1066" s="5"/>
    </row>
    <row r="1067" spans="1:11" s="3" customFormat="1" ht="31.5" customHeight="1" x14ac:dyDescent="0.45">
      <c r="A1067" s="56" t="s">
        <v>58</v>
      </c>
      <c r="B1067" s="36">
        <f>SUM(G1047:G1063)</f>
        <v>1251</v>
      </c>
      <c r="C1067" s="22"/>
      <c r="D1067" s="22"/>
      <c r="E1067" s="37"/>
      <c r="F1067" s="83" t="s">
        <v>49</v>
      </c>
      <c r="G1067" s="83"/>
      <c r="H1067" s="93">
        <f>B1067</f>
        <v>1251</v>
      </c>
      <c r="I1067" s="93"/>
      <c r="J1067" s="92" t="s">
        <v>50</v>
      </c>
      <c r="K1067" s="82">
        <f>H1067/17</f>
        <v>73.588235294117652</v>
      </c>
    </row>
    <row r="1068" spans="1:11" s="3" customFormat="1" ht="31.5" customHeight="1" x14ac:dyDescent="0.45">
      <c r="A1068" s="37"/>
      <c r="B1068" s="22"/>
      <c r="C1068" s="22"/>
      <c r="D1068" s="22"/>
      <c r="E1068" s="37"/>
      <c r="F1068" s="37"/>
      <c r="G1068" s="37"/>
      <c r="H1068" s="83">
        <v>17</v>
      </c>
      <c r="I1068" s="83"/>
      <c r="J1068" s="92"/>
      <c r="K1068" s="82"/>
    </row>
    <row r="1069" spans="1:11" s="3" customFormat="1" ht="31.5" customHeight="1" x14ac:dyDescent="0.35">
      <c r="A1069" s="5"/>
      <c r="E1069" s="5"/>
      <c r="F1069" s="5"/>
      <c r="G1069" s="5"/>
      <c r="H1069" s="8"/>
      <c r="I1069" s="8"/>
      <c r="J1069" s="12"/>
      <c r="K1069" s="13"/>
    </row>
    <row r="1070" spans="1:11" s="3" customFormat="1" ht="33.75" customHeight="1" x14ac:dyDescent="0.35">
      <c r="A1070" s="5"/>
      <c r="D1070" s="84" t="s">
        <v>30</v>
      </c>
      <c r="E1070" s="84"/>
      <c r="F1070" s="84"/>
      <c r="G1070" s="84"/>
      <c r="H1070" s="84"/>
    </row>
    <row r="1071" spans="1:11" s="3" customFormat="1" ht="33.75" customHeight="1" x14ac:dyDescent="0.35">
      <c r="A1071" s="85" t="s">
        <v>31</v>
      </c>
      <c r="B1071" s="86"/>
      <c r="C1071" s="87"/>
      <c r="D1071" s="41" t="s">
        <v>44</v>
      </c>
      <c r="E1071" s="41" t="s">
        <v>45</v>
      </c>
      <c r="F1071" s="41" t="s">
        <v>46</v>
      </c>
      <c r="G1071" s="41" t="s">
        <v>47</v>
      </c>
      <c r="H1071" s="41" t="s">
        <v>48</v>
      </c>
      <c r="I1071" s="9"/>
      <c r="J1071" s="11" t="s">
        <v>51</v>
      </c>
      <c r="K1071" s="5"/>
    </row>
    <row r="1072" spans="1:11" s="3" customFormat="1" ht="33.75" customHeight="1" x14ac:dyDescent="0.35">
      <c r="A1072" s="88" t="s">
        <v>32</v>
      </c>
      <c r="B1072" s="88"/>
      <c r="C1072" s="88"/>
      <c r="D1072" s="45" t="s">
        <v>124</v>
      </c>
      <c r="E1072" s="7"/>
      <c r="F1072" s="7"/>
      <c r="G1072" s="7"/>
      <c r="H1072" s="7"/>
      <c r="I1072" s="9"/>
      <c r="J1072" s="5" t="s">
        <v>52</v>
      </c>
      <c r="K1072" s="5"/>
    </row>
    <row r="1073" spans="1:11" s="3" customFormat="1" ht="33.75" customHeight="1" x14ac:dyDescent="0.35">
      <c r="A1073" s="88" t="s">
        <v>33</v>
      </c>
      <c r="B1073" s="88"/>
      <c r="C1073" s="88"/>
      <c r="D1073" s="45" t="s">
        <v>124</v>
      </c>
      <c r="E1073" s="7"/>
      <c r="F1073" s="7"/>
      <c r="G1073" s="7"/>
      <c r="H1073" s="7"/>
      <c r="I1073" s="9"/>
      <c r="J1073" s="5" t="s">
        <v>53</v>
      </c>
      <c r="K1073" s="5"/>
    </row>
    <row r="1074" spans="1:11" s="3" customFormat="1" ht="33.75" customHeight="1" x14ac:dyDescent="0.35">
      <c r="A1074" s="88" t="s">
        <v>34</v>
      </c>
      <c r="B1074" s="88"/>
      <c r="C1074" s="88"/>
      <c r="D1074" s="45" t="s">
        <v>124</v>
      </c>
      <c r="E1074" s="7"/>
      <c r="F1074" s="7"/>
      <c r="G1074" s="7"/>
      <c r="H1074" s="7"/>
      <c r="I1074" s="9"/>
      <c r="J1074" s="5" t="s">
        <v>54</v>
      </c>
      <c r="K1074" s="5"/>
    </row>
    <row r="1075" spans="1:11" s="3" customFormat="1" ht="33.75" customHeight="1" x14ac:dyDescent="0.35">
      <c r="A1075" s="88" t="s">
        <v>35</v>
      </c>
      <c r="B1075" s="88"/>
      <c r="C1075" s="88"/>
      <c r="D1075" s="45" t="s">
        <v>124</v>
      </c>
      <c r="E1075" s="7"/>
      <c r="F1075" s="7"/>
      <c r="G1075" s="7"/>
      <c r="H1075" s="7"/>
      <c r="I1075" s="9"/>
      <c r="J1075" s="5" t="s">
        <v>55</v>
      </c>
      <c r="K1075" s="5"/>
    </row>
    <row r="1076" spans="1:11" s="3" customFormat="1" ht="33.75" customHeight="1" x14ac:dyDescent="0.35">
      <c r="A1076" s="88" t="s">
        <v>36</v>
      </c>
      <c r="B1076" s="88"/>
      <c r="C1076" s="88"/>
      <c r="D1076" s="45" t="s">
        <v>124</v>
      </c>
      <c r="E1076" s="7"/>
      <c r="F1076" s="7"/>
      <c r="G1076" s="7"/>
      <c r="H1076" s="7"/>
      <c r="I1076" s="9"/>
      <c r="J1076" s="5" t="s">
        <v>56</v>
      </c>
      <c r="K1076" s="5"/>
    </row>
    <row r="1077" spans="1:11" s="3" customFormat="1" ht="33.75" customHeight="1" x14ac:dyDescent="0.35">
      <c r="A1077" s="88" t="s">
        <v>37</v>
      </c>
      <c r="B1077" s="88"/>
      <c r="C1077" s="88"/>
      <c r="D1077" s="45"/>
      <c r="E1077" s="45"/>
      <c r="F1077" s="45" t="s">
        <v>124</v>
      </c>
      <c r="G1077" s="7"/>
      <c r="H1077" s="7"/>
      <c r="I1077" s="9"/>
      <c r="J1077" s="5" t="s">
        <v>57</v>
      </c>
      <c r="K1077" s="5"/>
    </row>
    <row r="1078" spans="1:11" s="3" customFormat="1" ht="33.75" customHeight="1" x14ac:dyDescent="0.35">
      <c r="A1078" s="88" t="s">
        <v>38</v>
      </c>
      <c r="B1078" s="88"/>
      <c r="C1078" s="88"/>
      <c r="D1078" s="45" t="s">
        <v>124</v>
      </c>
      <c r="E1078" s="7"/>
      <c r="F1078" s="7"/>
      <c r="G1078" s="7"/>
      <c r="H1078" s="7"/>
      <c r="I1078" s="9"/>
    </row>
    <row r="1079" spans="1:11" s="3" customFormat="1" ht="33.75" customHeight="1" x14ac:dyDescent="0.35">
      <c r="A1079" s="88" t="s">
        <v>39</v>
      </c>
      <c r="B1079" s="88"/>
      <c r="C1079" s="88"/>
      <c r="D1079" s="45"/>
      <c r="E1079" s="45" t="s">
        <v>124</v>
      </c>
      <c r="F1079" s="7"/>
      <c r="G1079" s="7"/>
      <c r="H1079" s="7"/>
      <c r="I1079" s="9"/>
    </row>
    <row r="1080" spans="1:11" s="3" customFormat="1" ht="33.75" customHeight="1" x14ac:dyDescent="0.35">
      <c r="A1080" s="88" t="s">
        <v>40</v>
      </c>
      <c r="B1080" s="88"/>
      <c r="C1080" s="88"/>
      <c r="D1080" s="45"/>
      <c r="E1080" s="45" t="s">
        <v>124</v>
      </c>
      <c r="F1080" s="7"/>
      <c r="G1080" s="7"/>
      <c r="H1080" s="7"/>
      <c r="I1080" s="9"/>
    </row>
    <row r="1081" spans="1:11" s="3" customFormat="1" ht="33.75" customHeight="1" x14ac:dyDescent="0.35">
      <c r="A1081" s="88" t="s">
        <v>41</v>
      </c>
      <c r="B1081" s="88"/>
      <c r="C1081" s="88"/>
      <c r="D1081" s="45" t="s">
        <v>124</v>
      </c>
      <c r="E1081" s="7"/>
      <c r="F1081" s="7"/>
      <c r="G1081" s="7"/>
      <c r="H1081" s="7"/>
      <c r="I1081" s="9"/>
    </row>
    <row r="1082" spans="1:11" s="3" customFormat="1" ht="33.75" customHeight="1" x14ac:dyDescent="0.35">
      <c r="A1082" s="88" t="s">
        <v>42</v>
      </c>
      <c r="B1082" s="88"/>
      <c r="C1082" s="88"/>
      <c r="D1082" s="45"/>
      <c r="E1082" s="45" t="s">
        <v>124</v>
      </c>
      <c r="F1082" s="7"/>
      <c r="G1082" s="7"/>
      <c r="H1082" s="7"/>
      <c r="I1082" s="9"/>
    </row>
    <row r="1083" spans="1:11" s="3" customFormat="1" ht="33.75" customHeight="1" x14ac:dyDescent="0.35">
      <c r="A1083" s="88" t="s">
        <v>43</v>
      </c>
      <c r="B1083" s="88"/>
      <c r="C1083" s="88"/>
      <c r="D1083" s="45" t="s">
        <v>124</v>
      </c>
      <c r="E1083" s="7"/>
      <c r="F1083" s="7"/>
      <c r="G1083" s="7"/>
      <c r="H1083" s="7"/>
      <c r="I1083" s="9"/>
    </row>
    <row r="1084" spans="1:11" ht="50.25" customHeight="1" x14ac:dyDescent="0.25"/>
    <row r="1085" spans="1:11" s="15" customFormat="1" ht="31.5" customHeight="1" x14ac:dyDescent="0.4">
      <c r="A1085" s="17" t="s">
        <v>78</v>
      </c>
      <c r="B1085" s="17"/>
      <c r="C1085" s="94" t="s">
        <v>128</v>
      </c>
      <c r="D1085" s="94"/>
      <c r="E1085" s="94"/>
      <c r="F1085" s="94"/>
      <c r="G1085" s="94"/>
      <c r="H1085" s="94"/>
      <c r="I1085" s="94"/>
      <c r="J1085" s="94"/>
      <c r="K1085" s="16"/>
    </row>
    <row r="1086" spans="1:11" s="15" customFormat="1" ht="42.75" customHeight="1" x14ac:dyDescent="0.4">
      <c r="A1086" s="17" t="s">
        <v>80</v>
      </c>
      <c r="B1086" s="17"/>
      <c r="C1086" s="95" t="s">
        <v>107</v>
      </c>
      <c r="D1086" s="95"/>
      <c r="E1086" s="95"/>
      <c r="F1086" s="95"/>
      <c r="G1086" s="95"/>
      <c r="H1086" s="95"/>
      <c r="I1086" s="16"/>
      <c r="J1086" s="16"/>
      <c r="K1086" s="16"/>
    </row>
    <row r="1087" spans="1:11" s="15" customFormat="1" ht="31.5" customHeight="1" x14ac:dyDescent="0.4">
      <c r="A1087" s="17"/>
      <c r="B1087" s="17"/>
      <c r="C1087" s="18"/>
      <c r="D1087" s="18"/>
      <c r="E1087" s="18"/>
      <c r="F1087" s="18"/>
      <c r="G1087" s="18"/>
      <c r="H1087" s="18"/>
      <c r="I1087" s="16"/>
      <c r="J1087" s="16"/>
      <c r="K1087" s="16"/>
    </row>
    <row r="1088" spans="1:11" s="15" customFormat="1" ht="31.5" customHeight="1" x14ac:dyDescent="0.4">
      <c r="A1088" s="17" t="s">
        <v>81</v>
      </c>
      <c r="B1088" s="17"/>
      <c r="C1088" s="94" t="s">
        <v>79</v>
      </c>
      <c r="D1088" s="94"/>
      <c r="E1088" s="94"/>
      <c r="F1088" s="94"/>
      <c r="G1088" s="94"/>
      <c r="H1088" s="94"/>
      <c r="I1088" s="94"/>
      <c r="J1088" s="94"/>
      <c r="K1088" s="16"/>
    </row>
    <row r="1089" spans="1:11" s="15" customFormat="1" ht="46.5" customHeight="1" x14ac:dyDescent="0.4">
      <c r="A1089" s="17" t="s">
        <v>80</v>
      </c>
      <c r="B1089" s="17"/>
      <c r="C1089" s="95" t="s">
        <v>107</v>
      </c>
      <c r="D1089" s="95"/>
      <c r="E1089" s="95"/>
      <c r="F1089" s="95"/>
      <c r="G1089" s="95"/>
      <c r="H1089" s="95"/>
      <c r="I1089" s="16"/>
      <c r="J1089" s="16"/>
      <c r="K1089" s="16"/>
    </row>
    <row r="1091" spans="1:11" ht="66" customHeight="1" x14ac:dyDescent="0.25">
      <c r="A1091" s="62" t="s">
        <v>0</v>
      </c>
      <c r="B1091" s="62"/>
      <c r="C1091" s="62"/>
      <c r="D1091" s="62"/>
      <c r="E1091" s="62"/>
      <c r="F1091" s="62"/>
      <c r="G1091" s="62"/>
      <c r="H1091" s="62"/>
      <c r="I1091" s="62"/>
      <c r="J1091" s="62"/>
      <c r="K1091" s="62"/>
    </row>
    <row r="1092" spans="1:11" ht="27.75" customHeight="1" x14ac:dyDescent="0.3">
      <c r="A1092" s="63" t="s">
        <v>1</v>
      </c>
      <c r="B1092" s="63"/>
      <c r="C1092" s="63"/>
      <c r="D1092" s="63"/>
      <c r="E1092" s="63"/>
      <c r="F1092" s="63"/>
      <c r="G1092" s="63"/>
      <c r="H1092" s="63"/>
      <c r="I1092" s="63"/>
      <c r="J1092" s="63"/>
      <c r="K1092" s="63"/>
    </row>
    <row r="1093" spans="1:11" ht="46.5" customHeight="1" x14ac:dyDescent="0.25">
      <c r="A1093" s="64" t="s">
        <v>2</v>
      </c>
      <c r="B1093" s="64"/>
      <c r="C1093" s="64"/>
      <c r="D1093" s="64"/>
      <c r="E1093" s="64"/>
      <c r="F1093" s="64"/>
      <c r="G1093" s="64"/>
      <c r="H1093" s="64"/>
      <c r="I1093" s="64"/>
      <c r="J1093" s="64"/>
      <c r="K1093" s="64"/>
    </row>
    <row r="1094" spans="1:11" ht="39" customHeight="1" x14ac:dyDescent="0.55000000000000004">
      <c r="A1094" s="65" t="s">
        <v>3</v>
      </c>
      <c r="B1094" s="65"/>
      <c r="C1094" s="65"/>
      <c r="D1094" s="65"/>
      <c r="E1094" s="65"/>
      <c r="F1094" s="65"/>
      <c r="G1094" s="65"/>
      <c r="H1094" s="65"/>
      <c r="I1094" s="65"/>
      <c r="J1094" s="65"/>
      <c r="K1094" s="65"/>
    </row>
    <row r="1095" spans="1:11" ht="31.5" customHeight="1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</row>
    <row r="1096" spans="1:11" s="20" customFormat="1" ht="31.5" customHeight="1" x14ac:dyDescent="0.4">
      <c r="A1096" s="19" t="s">
        <v>60</v>
      </c>
      <c r="B1096" s="59" t="s">
        <v>110</v>
      </c>
      <c r="C1096" s="59"/>
      <c r="D1096" s="59"/>
      <c r="E1096" s="59"/>
      <c r="F1096" s="59"/>
      <c r="G1096" s="19" t="s">
        <v>59</v>
      </c>
      <c r="H1096" s="47" t="s">
        <v>88</v>
      </c>
      <c r="I1096" s="19" t="s">
        <v>75</v>
      </c>
      <c r="J1096" s="59" t="s">
        <v>109</v>
      </c>
      <c r="K1096" s="59"/>
    </row>
    <row r="1097" spans="1:11" s="20" customFormat="1" ht="31.5" customHeight="1" x14ac:dyDescent="0.4">
      <c r="A1097" s="19" t="s">
        <v>61</v>
      </c>
      <c r="B1097" s="59"/>
      <c r="C1097" s="59"/>
      <c r="D1097" s="19" t="s">
        <v>68</v>
      </c>
      <c r="E1097" s="59"/>
      <c r="F1097" s="59"/>
      <c r="G1097" s="59"/>
      <c r="H1097" s="59"/>
      <c r="I1097" s="19" t="s">
        <v>69</v>
      </c>
      <c r="J1097" s="59" t="s">
        <v>90</v>
      </c>
      <c r="K1097" s="59"/>
    </row>
    <row r="1098" spans="1:11" s="20" customFormat="1" ht="35.25" customHeight="1" x14ac:dyDescent="0.4">
      <c r="A1098" s="19" t="s">
        <v>63</v>
      </c>
      <c r="B1098" s="47" t="s">
        <v>64</v>
      </c>
      <c r="C1098" s="47"/>
      <c r="D1098" s="47"/>
      <c r="E1098" s="55"/>
      <c r="F1098" s="19" t="s">
        <v>62</v>
      </c>
      <c r="H1098" s="47">
        <v>2</v>
      </c>
      <c r="I1098" s="19" t="s">
        <v>70</v>
      </c>
      <c r="J1098" s="59"/>
      <c r="K1098" s="59"/>
    </row>
    <row r="1099" spans="1:11" s="20" customFormat="1" ht="39" customHeight="1" x14ac:dyDescent="0.4">
      <c r="A1099" s="19" t="s">
        <v>71</v>
      </c>
      <c r="B1099" s="21" t="s">
        <v>86</v>
      </c>
      <c r="C1099" s="21"/>
      <c r="D1099" s="21"/>
      <c r="E1099" s="21"/>
      <c r="F1099" s="19" t="s">
        <v>73</v>
      </c>
      <c r="G1099" s="19"/>
      <c r="H1099" s="24" t="s">
        <v>87</v>
      </c>
      <c r="I1099" s="21"/>
      <c r="J1099" s="21"/>
      <c r="K1099" s="21"/>
    </row>
    <row r="1100" spans="1:11" s="20" customFormat="1" ht="39.75" customHeight="1" x14ac:dyDescent="0.4">
      <c r="A1100" s="19" t="s">
        <v>72</v>
      </c>
      <c r="B1100" s="21"/>
      <c r="C1100" s="60"/>
      <c r="D1100" s="60"/>
      <c r="E1100" s="60"/>
      <c r="F1100" s="19" t="s">
        <v>74</v>
      </c>
      <c r="G1100" s="19"/>
      <c r="H1100" s="61"/>
      <c r="I1100" s="61"/>
      <c r="J1100" s="61"/>
      <c r="K1100" s="61"/>
    </row>
    <row r="1101" spans="1:11" s="20" customFormat="1" ht="21" customHeight="1" x14ac:dyDescent="0.4">
      <c r="A1101" s="19"/>
      <c r="B1101" s="21"/>
      <c r="C1101" s="51"/>
      <c r="D1101" s="51"/>
      <c r="E1101" s="51"/>
      <c r="F1101" s="19"/>
      <c r="G1101" s="19"/>
      <c r="H1101" s="52"/>
      <c r="I1101" s="52"/>
      <c r="J1101" s="52"/>
      <c r="K1101" s="52"/>
    </row>
    <row r="1102" spans="1:11" s="14" customFormat="1" ht="36.75" customHeight="1" x14ac:dyDescent="0.45">
      <c r="A1102" s="15"/>
      <c r="B1102" s="67" t="s">
        <v>5</v>
      </c>
      <c r="C1102" s="67"/>
      <c r="D1102" s="67"/>
      <c r="E1102" s="67"/>
      <c r="F1102" s="67"/>
      <c r="G1102" s="67"/>
      <c r="H1102" s="67"/>
      <c r="I1102" s="67"/>
      <c r="J1102" s="67"/>
      <c r="K1102" s="67"/>
    </row>
    <row r="1103" spans="1:11" s="14" customFormat="1" ht="31.5" customHeight="1" x14ac:dyDescent="0.4">
      <c r="B1103" s="68" t="s">
        <v>22</v>
      </c>
      <c r="C1103" s="69"/>
      <c r="D1103" s="69"/>
      <c r="E1103" s="69"/>
      <c r="F1103" s="49" t="s">
        <v>24</v>
      </c>
      <c r="G1103" s="70" t="s">
        <v>25</v>
      </c>
      <c r="H1103" s="72" t="s">
        <v>27</v>
      </c>
      <c r="I1103" s="75" t="s">
        <v>66</v>
      </c>
      <c r="J1103" s="76"/>
      <c r="K1103" s="76" t="s">
        <v>29</v>
      </c>
    </row>
    <row r="1104" spans="1:11" s="14" customFormat="1" ht="31.5" customHeight="1" x14ac:dyDescent="0.4">
      <c r="B1104" s="68" t="s">
        <v>76</v>
      </c>
      <c r="C1104" s="79"/>
      <c r="D1104" s="26" t="s">
        <v>77</v>
      </c>
      <c r="E1104" s="27" t="s">
        <v>77</v>
      </c>
      <c r="F1104" s="28" t="s">
        <v>23</v>
      </c>
      <c r="G1104" s="71"/>
      <c r="H1104" s="73"/>
      <c r="I1104" s="75"/>
      <c r="J1104" s="77"/>
      <c r="K1104" s="77"/>
    </row>
    <row r="1105" spans="1:11" s="14" customFormat="1" ht="31.5" customHeight="1" x14ac:dyDescent="0.4">
      <c r="B1105" s="80">
        <v>0.1</v>
      </c>
      <c r="C1105" s="80">
        <v>0.1</v>
      </c>
      <c r="D1105" s="80">
        <v>0.2</v>
      </c>
      <c r="E1105" s="80">
        <v>0.2</v>
      </c>
      <c r="F1105" s="90">
        <v>0.4</v>
      </c>
      <c r="G1105" s="53" t="s">
        <v>26</v>
      </c>
      <c r="H1105" s="74"/>
      <c r="I1105" s="70"/>
      <c r="J1105" s="77"/>
      <c r="K1105" s="77"/>
    </row>
    <row r="1106" spans="1:11" s="14" customFormat="1" ht="31.5" customHeight="1" x14ac:dyDescent="0.4">
      <c r="A1106" s="23" t="s">
        <v>4</v>
      </c>
      <c r="B1106" s="81"/>
      <c r="C1106" s="81"/>
      <c r="D1106" s="81"/>
      <c r="E1106" s="81"/>
      <c r="F1106" s="91"/>
      <c r="G1106" s="29">
        <v>1</v>
      </c>
      <c r="H1106" s="28" t="s">
        <v>28</v>
      </c>
      <c r="I1106" s="43" t="s">
        <v>65</v>
      </c>
      <c r="J1106" s="48" t="s">
        <v>67</v>
      </c>
      <c r="K1106" s="78"/>
    </row>
    <row r="1107" spans="1:11" s="3" customFormat="1" ht="41.25" customHeight="1" x14ac:dyDescent="0.4">
      <c r="A1107" s="30" t="s">
        <v>6</v>
      </c>
      <c r="B1107" s="33">
        <v>8</v>
      </c>
      <c r="C1107" s="33">
        <v>10</v>
      </c>
      <c r="D1107" s="33">
        <v>17</v>
      </c>
      <c r="E1107" s="33">
        <v>17</v>
      </c>
      <c r="F1107" s="33">
        <v>29</v>
      </c>
      <c r="G1107" s="31">
        <f t="shared" ref="G1107:G1123" si="54">SUM(B1107:F1107)</f>
        <v>81</v>
      </c>
      <c r="H1107" s="38">
        <v>76</v>
      </c>
      <c r="I1107" s="31" t="s">
        <v>111</v>
      </c>
      <c r="J1107" s="33" t="str">
        <f>IF(G1107&gt;=70,"A",IF(G1107&gt;=60,"B",IF(G1107&gt;=50,"C",IF(G1107&gt;=45,"D",IF(G1107&gt;=40,"E",IF(G1107&lt;=39,"F"))))))</f>
        <v>A</v>
      </c>
      <c r="K1107" s="34" t="str">
        <f>IF(G1107&gt;=70,"EXCELLENT",IF(G1107&gt;=60,"V.GOOD",IF(G1107&gt;=50,"GOOD",IF(G1107&gt;=45,"PASS",IF(G1107&gt;=40,"FAIR",IF(G1107&lt;=39,"FAIL"))))))</f>
        <v>EXCELLENT</v>
      </c>
    </row>
    <row r="1108" spans="1:11" s="3" customFormat="1" ht="41.25" customHeight="1" x14ac:dyDescent="0.4">
      <c r="A1108" s="30" t="s">
        <v>7</v>
      </c>
      <c r="B1108" s="33">
        <v>10</v>
      </c>
      <c r="C1108" s="33">
        <v>8</v>
      </c>
      <c r="D1108" s="33">
        <v>13</v>
      </c>
      <c r="E1108" s="33">
        <v>17</v>
      </c>
      <c r="F1108" s="33">
        <v>27</v>
      </c>
      <c r="G1108" s="33">
        <f t="shared" si="54"/>
        <v>75</v>
      </c>
      <c r="H1108" s="39">
        <v>75.5</v>
      </c>
      <c r="I1108" s="33" t="s">
        <v>112</v>
      </c>
      <c r="J1108" s="33" t="str">
        <f t="shared" ref="J1108:J1123" si="55">IF(G1108&gt;=70,"A",IF(G1108&gt;=60,"B",IF(G1108&gt;=50,"C",IF(G1108&gt;=45,"D",IF(G1108&gt;=40,"E",IF(G1108&lt;=39,"F"))))))</f>
        <v>A</v>
      </c>
      <c r="K1108" s="34" t="str">
        <f t="shared" ref="K1108:K1123" si="56">IF(G1108&gt;=70,"EXCELLENT",IF(G1108&gt;=60,"V.GOOD",IF(G1108&gt;=50,"GOOD",IF(G1108&gt;=45,"PASS",IF(G1108&gt;=40,"FAIR",IF(G1108&lt;=39,"FAIL"))))))</f>
        <v>EXCELLENT</v>
      </c>
    </row>
    <row r="1109" spans="1:11" s="3" customFormat="1" ht="41.25" customHeight="1" x14ac:dyDescent="0.4">
      <c r="A1109" s="30" t="s">
        <v>8</v>
      </c>
      <c r="B1109" s="33">
        <v>6</v>
      </c>
      <c r="C1109" s="33">
        <v>6</v>
      </c>
      <c r="D1109" s="33">
        <v>12</v>
      </c>
      <c r="E1109" s="33">
        <v>14</v>
      </c>
      <c r="F1109" s="33">
        <v>26</v>
      </c>
      <c r="G1109" s="33">
        <f t="shared" si="54"/>
        <v>64</v>
      </c>
      <c r="H1109" s="39">
        <v>63.5</v>
      </c>
      <c r="I1109" s="33" t="s">
        <v>111</v>
      </c>
      <c r="J1109" s="33" t="str">
        <f t="shared" si="55"/>
        <v>B</v>
      </c>
      <c r="K1109" s="34" t="str">
        <f t="shared" si="56"/>
        <v>V.GOOD</v>
      </c>
    </row>
    <row r="1110" spans="1:11" s="3" customFormat="1" ht="41.25" customHeight="1" x14ac:dyDescent="0.4">
      <c r="A1110" s="30" t="s">
        <v>13</v>
      </c>
      <c r="B1110" s="33">
        <v>10</v>
      </c>
      <c r="C1110" s="33">
        <v>10</v>
      </c>
      <c r="D1110" s="33">
        <v>16</v>
      </c>
      <c r="E1110" s="33">
        <v>17</v>
      </c>
      <c r="F1110" s="33">
        <v>20</v>
      </c>
      <c r="G1110" s="33">
        <f t="shared" si="54"/>
        <v>73</v>
      </c>
      <c r="H1110" s="39">
        <v>74</v>
      </c>
      <c r="I1110" s="33" t="s">
        <v>112</v>
      </c>
      <c r="J1110" s="33" t="str">
        <f t="shared" si="55"/>
        <v>A</v>
      </c>
      <c r="K1110" s="34" t="str">
        <f t="shared" si="56"/>
        <v>EXCELLENT</v>
      </c>
    </row>
    <row r="1111" spans="1:11" s="3" customFormat="1" ht="41.25" customHeight="1" x14ac:dyDescent="0.4">
      <c r="A1111" s="30" t="s">
        <v>9</v>
      </c>
      <c r="B1111" s="33">
        <v>10</v>
      </c>
      <c r="C1111" s="33">
        <v>10</v>
      </c>
      <c r="D1111" s="33">
        <v>17</v>
      </c>
      <c r="E1111" s="33">
        <v>18</v>
      </c>
      <c r="F1111" s="33">
        <v>29</v>
      </c>
      <c r="G1111" s="33">
        <f t="shared" si="54"/>
        <v>84</v>
      </c>
      <c r="H1111" s="39">
        <v>84.5</v>
      </c>
      <c r="I1111" s="33" t="s">
        <v>112</v>
      </c>
      <c r="J1111" s="33" t="str">
        <f t="shared" si="55"/>
        <v>A</v>
      </c>
      <c r="K1111" s="34" t="str">
        <f t="shared" si="56"/>
        <v>EXCELLENT</v>
      </c>
    </row>
    <row r="1112" spans="1:11" s="3" customFormat="1" ht="41.25" customHeight="1" x14ac:dyDescent="0.4">
      <c r="A1112" s="30" t="s">
        <v>82</v>
      </c>
      <c r="B1112" s="33">
        <v>6</v>
      </c>
      <c r="C1112" s="33">
        <v>7</v>
      </c>
      <c r="D1112" s="33">
        <v>15</v>
      </c>
      <c r="E1112" s="33">
        <v>14</v>
      </c>
      <c r="F1112" s="33">
        <v>30</v>
      </c>
      <c r="G1112" s="33">
        <f t="shared" si="54"/>
        <v>72</v>
      </c>
      <c r="H1112" s="39">
        <v>72</v>
      </c>
      <c r="I1112" s="33" t="s">
        <v>111</v>
      </c>
      <c r="J1112" s="33" t="str">
        <f t="shared" si="55"/>
        <v>A</v>
      </c>
      <c r="K1112" s="34" t="str">
        <f t="shared" si="56"/>
        <v>EXCELLENT</v>
      </c>
    </row>
    <row r="1113" spans="1:11" s="3" customFormat="1" ht="41.25" customHeight="1" x14ac:dyDescent="0.4">
      <c r="A1113" s="30" t="s">
        <v>21</v>
      </c>
      <c r="B1113" s="33">
        <v>9</v>
      </c>
      <c r="C1113" s="33">
        <v>10</v>
      </c>
      <c r="D1113" s="33">
        <v>18</v>
      </c>
      <c r="E1113" s="33">
        <v>18</v>
      </c>
      <c r="F1113" s="33">
        <v>30</v>
      </c>
      <c r="G1113" s="33">
        <f t="shared" si="54"/>
        <v>85</v>
      </c>
      <c r="H1113" s="39">
        <v>82.5</v>
      </c>
      <c r="I1113" s="33" t="s">
        <v>111</v>
      </c>
      <c r="J1113" s="33" t="str">
        <f t="shared" si="55"/>
        <v>A</v>
      </c>
      <c r="K1113" s="34" t="str">
        <f t="shared" si="56"/>
        <v>EXCELLENT</v>
      </c>
    </row>
    <row r="1114" spans="1:11" s="3" customFormat="1" ht="41.25" customHeight="1" x14ac:dyDescent="0.4">
      <c r="A1114" s="30" t="s">
        <v>10</v>
      </c>
      <c r="B1114" s="33">
        <v>7</v>
      </c>
      <c r="C1114" s="33">
        <v>8</v>
      </c>
      <c r="D1114" s="33">
        <v>18</v>
      </c>
      <c r="E1114" s="33">
        <v>20</v>
      </c>
      <c r="F1114" s="33">
        <v>33</v>
      </c>
      <c r="G1114" s="33">
        <f t="shared" si="54"/>
        <v>86</v>
      </c>
      <c r="H1114" s="39">
        <v>81.5</v>
      </c>
      <c r="I1114" s="33" t="s">
        <v>111</v>
      </c>
      <c r="J1114" s="33" t="str">
        <f t="shared" si="55"/>
        <v>A</v>
      </c>
      <c r="K1114" s="34" t="str">
        <f t="shared" si="56"/>
        <v>EXCELLENT</v>
      </c>
    </row>
    <row r="1115" spans="1:11" s="3" customFormat="1" ht="41.25" customHeight="1" x14ac:dyDescent="0.4">
      <c r="A1115" s="30" t="s">
        <v>12</v>
      </c>
      <c r="B1115" s="33">
        <v>9</v>
      </c>
      <c r="C1115" s="33">
        <v>9</v>
      </c>
      <c r="D1115" s="33">
        <v>19</v>
      </c>
      <c r="E1115" s="33">
        <v>18</v>
      </c>
      <c r="F1115" s="33">
        <v>34</v>
      </c>
      <c r="G1115" s="33">
        <f t="shared" si="54"/>
        <v>89</v>
      </c>
      <c r="H1115" s="39">
        <v>83</v>
      </c>
      <c r="I1115" s="33" t="s">
        <v>111</v>
      </c>
      <c r="J1115" s="33" t="str">
        <f t="shared" si="55"/>
        <v>A</v>
      </c>
      <c r="K1115" s="34" t="str">
        <f t="shared" si="56"/>
        <v>EXCELLENT</v>
      </c>
    </row>
    <row r="1116" spans="1:11" s="3" customFormat="1" ht="41.25" customHeight="1" x14ac:dyDescent="0.4">
      <c r="A1116" s="30" t="s">
        <v>11</v>
      </c>
      <c r="B1116" s="33">
        <v>7</v>
      </c>
      <c r="C1116" s="33">
        <v>9</v>
      </c>
      <c r="D1116" s="33">
        <v>15</v>
      </c>
      <c r="E1116" s="33">
        <v>15</v>
      </c>
      <c r="F1116" s="33">
        <v>22</v>
      </c>
      <c r="G1116" s="33">
        <f t="shared" si="54"/>
        <v>68</v>
      </c>
      <c r="H1116" s="39">
        <v>68.5</v>
      </c>
      <c r="I1116" s="33" t="s">
        <v>112</v>
      </c>
      <c r="J1116" s="33" t="str">
        <f t="shared" si="55"/>
        <v>B</v>
      </c>
      <c r="K1116" s="34" t="str">
        <f t="shared" si="56"/>
        <v>V.GOOD</v>
      </c>
    </row>
    <row r="1117" spans="1:11" s="3" customFormat="1" ht="41.25" customHeight="1" x14ac:dyDescent="0.4">
      <c r="A1117" s="30" t="s">
        <v>14</v>
      </c>
      <c r="B1117" s="33">
        <v>9</v>
      </c>
      <c r="C1117" s="33">
        <v>10</v>
      </c>
      <c r="D1117" s="33">
        <v>16</v>
      </c>
      <c r="E1117" s="33">
        <v>17</v>
      </c>
      <c r="F1117" s="33">
        <v>26</v>
      </c>
      <c r="G1117" s="33">
        <f t="shared" si="54"/>
        <v>78</v>
      </c>
      <c r="H1117" s="39">
        <v>75.5</v>
      </c>
      <c r="I1117" s="33" t="s">
        <v>111</v>
      </c>
      <c r="J1117" s="33" t="str">
        <f t="shared" si="55"/>
        <v>A</v>
      </c>
      <c r="K1117" s="34" t="str">
        <f t="shared" si="56"/>
        <v>EXCELLENT</v>
      </c>
    </row>
    <row r="1118" spans="1:11" s="3" customFormat="1" ht="41.25" customHeight="1" x14ac:dyDescent="0.4">
      <c r="A1118" s="30" t="s">
        <v>15</v>
      </c>
      <c r="B1118" s="33">
        <v>6</v>
      </c>
      <c r="C1118" s="33">
        <v>5</v>
      </c>
      <c r="D1118" s="33">
        <v>20</v>
      </c>
      <c r="E1118" s="33">
        <v>12</v>
      </c>
      <c r="F1118" s="33">
        <v>29</v>
      </c>
      <c r="G1118" s="33">
        <f t="shared" si="54"/>
        <v>72</v>
      </c>
      <c r="H1118" s="39">
        <v>73</v>
      </c>
      <c r="I1118" s="33" t="s">
        <v>112</v>
      </c>
      <c r="J1118" s="33" t="str">
        <f t="shared" si="55"/>
        <v>A</v>
      </c>
      <c r="K1118" s="34" t="str">
        <f t="shared" si="56"/>
        <v>EXCELLENT</v>
      </c>
    </row>
    <row r="1119" spans="1:11" s="3" customFormat="1" ht="41.25" customHeight="1" x14ac:dyDescent="0.4">
      <c r="A1119" s="30" t="s">
        <v>16</v>
      </c>
      <c r="B1119" s="33">
        <v>8</v>
      </c>
      <c r="C1119" s="33">
        <v>8</v>
      </c>
      <c r="D1119" s="33">
        <v>18</v>
      </c>
      <c r="E1119" s="33">
        <v>18</v>
      </c>
      <c r="F1119" s="33">
        <v>26</v>
      </c>
      <c r="G1119" s="33">
        <f t="shared" si="54"/>
        <v>78</v>
      </c>
      <c r="H1119" s="39">
        <v>77</v>
      </c>
      <c r="I1119" s="33" t="s">
        <v>111</v>
      </c>
      <c r="J1119" s="33" t="str">
        <f t="shared" si="55"/>
        <v>A</v>
      </c>
      <c r="K1119" s="34" t="str">
        <f t="shared" si="56"/>
        <v>EXCELLENT</v>
      </c>
    </row>
    <row r="1120" spans="1:11" s="3" customFormat="1" ht="41.25" customHeight="1" x14ac:dyDescent="0.4">
      <c r="A1120" s="30" t="s">
        <v>17</v>
      </c>
      <c r="B1120" s="33">
        <v>7</v>
      </c>
      <c r="C1120" s="33">
        <v>8</v>
      </c>
      <c r="D1120" s="33">
        <v>17</v>
      </c>
      <c r="E1120" s="33">
        <v>17</v>
      </c>
      <c r="F1120" s="33">
        <v>34</v>
      </c>
      <c r="G1120" s="33">
        <f t="shared" si="54"/>
        <v>83</v>
      </c>
      <c r="H1120" s="39">
        <v>79.5</v>
      </c>
      <c r="I1120" s="33" t="s">
        <v>111</v>
      </c>
      <c r="J1120" s="33" t="str">
        <f t="shared" si="55"/>
        <v>A</v>
      </c>
      <c r="K1120" s="34" t="str">
        <f t="shared" si="56"/>
        <v>EXCELLENT</v>
      </c>
    </row>
    <row r="1121" spans="1:11" s="3" customFormat="1" ht="41.25" customHeight="1" x14ac:dyDescent="0.4">
      <c r="A1121" s="30" t="s">
        <v>18</v>
      </c>
      <c r="B1121" s="33">
        <v>10</v>
      </c>
      <c r="C1121" s="33">
        <v>10</v>
      </c>
      <c r="D1121" s="33">
        <v>18</v>
      </c>
      <c r="E1121" s="33">
        <v>20</v>
      </c>
      <c r="F1121" s="33">
        <v>38</v>
      </c>
      <c r="G1121" s="33">
        <f t="shared" si="54"/>
        <v>96</v>
      </c>
      <c r="H1121" s="39">
        <v>82</v>
      </c>
      <c r="I1121" s="33" t="s">
        <v>111</v>
      </c>
      <c r="J1121" s="33" t="str">
        <f t="shared" si="55"/>
        <v>A</v>
      </c>
      <c r="K1121" s="34" t="str">
        <f t="shared" si="56"/>
        <v>EXCELLENT</v>
      </c>
    </row>
    <row r="1122" spans="1:11" s="3" customFormat="1" ht="41.25" customHeight="1" x14ac:dyDescent="0.4">
      <c r="A1122" s="30" t="s">
        <v>19</v>
      </c>
      <c r="B1122" s="33">
        <v>10</v>
      </c>
      <c r="C1122" s="33">
        <v>10</v>
      </c>
      <c r="D1122" s="33">
        <v>7</v>
      </c>
      <c r="E1122" s="33">
        <v>7</v>
      </c>
      <c r="F1122" s="33">
        <v>33</v>
      </c>
      <c r="G1122" s="33">
        <f t="shared" si="54"/>
        <v>67</v>
      </c>
      <c r="H1122" s="39">
        <v>67.5</v>
      </c>
      <c r="I1122" s="33" t="s">
        <v>112</v>
      </c>
      <c r="J1122" s="33" t="str">
        <f t="shared" si="55"/>
        <v>B</v>
      </c>
      <c r="K1122" s="34" t="str">
        <f t="shared" si="56"/>
        <v>V.GOOD</v>
      </c>
    </row>
    <row r="1123" spans="1:11" s="3" customFormat="1" ht="41.25" customHeight="1" x14ac:dyDescent="0.4">
      <c r="A1123" s="30" t="s">
        <v>20</v>
      </c>
      <c r="B1123" s="33">
        <v>10</v>
      </c>
      <c r="C1123" s="33">
        <v>10</v>
      </c>
      <c r="D1123" s="33">
        <v>15</v>
      </c>
      <c r="E1123" s="33">
        <v>20</v>
      </c>
      <c r="F1123" s="33">
        <v>34</v>
      </c>
      <c r="G1123" s="33">
        <f t="shared" si="54"/>
        <v>89</v>
      </c>
      <c r="H1123" s="39">
        <v>80.5</v>
      </c>
      <c r="I1123" s="33" t="s">
        <v>111</v>
      </c>
      <c r="J1123" s="33" t="str">
        <f t="shared" si="55"/>
        <v>A</v>
      </c>
      <c r="K1123" s="34" t="str">
        <f t="shared" si="56"/>
        <v>EXCELLENT</v>
      </c>
    </row>
    <row r="1124" spans="1:11" s="3" customFormat="1" ht="41.25" customHeight="1" x14ac:dyDescent="0.4">
      <c r="A1124" s="4"/>
      <c r="B1124" s="33"/>
      <c r="C1124" s="33"/>
      <c r="D1124" s="33"/>
      <c r="E1124" s="33"/>
      <c r="F1124" s="33"/>
      <c r="G1124" s="25"/>
      <c r="H1124" s="25"/>
      <c r="I1124" s="25"/>
      <c r="J1124" s="25"/>
      <c r="K1124" s="35"/>
    </row>
    <row r="1125" spans="1:11" s="3" customFormat="1" ht="41.25" customHeight="1" x14ac:dyDescent="0.4">
      <c r="A1125" s="4"/>
      <c r="B1125" s="33"/>
      <c r="C1125" s="33"/>
      <c r="D1125" s="33"/>
      <c r="E1125" s="33"/>
      <c r="F1125" s="33"/>
      <c r="G1125" s="25"/>
      <c r="H1125" s="25"/>
      <c r="I1125" s="25"/>
      <c r="J1125" s="25"/>
      <c r="K1125" s="35"/>
    </row>
    <row r="1126" spans="1:11" s="3" customFormat="1" ht="31.5" customHeight="1" x14ac:dyDescent="0.35">
      <c r="A1126" s="5"/>
    </row>
    <row r="1127" spans="1:11" s="3" customFormat="1" ht="31.5" customHeight="1" x14ac:dyDescent="0.45">
      <c r="A1127" s="56" t="s">
        <v>58</v>
      </c>
      <c r="B1127" s="36">
        <f>SUM(G1107:G1123)</f>
        <v>1340</v>
      </c>
      <c r="C1127" s="22"/>
      <c r="D1127" s="22"/>
      <c r="E1127" s="37"/>
      <c r="F1127" s="83" t="s">
        <v>49</v>
      </c>
      <c r="G1127" s="83"/>
      <c r="H1127" s="93">
        <f>B1127</f>
        <v>1340</v>
      </c>
      <c r="I1127" s="93"/>
      <c r="J1127" s="92" t="s">
        <v>50</v>
      </c>
      <c r="K1127" s="82">
        <f>H1127/17</f>
        <v>78.82352941176471</v>
      </c>
    </row>
    <row r="1128" spans="1:11" s="3" customFormat="1" ht="31.5" customHeight="1" x14ac:dyDescent="0.45">
      <c r="A1128" s="37"/>
      <c r="B1128" s="22"/>
      <c r="C1128" s="22"/>
      <c r="D1128" s="22"/>
      <c r="E1128" s="37"/>
      <c r="F1128" s="37"/>
      <c r="G1128" s="37"/>
      <c r="H1128" s="83">
        <v>17</v>
      </c>
      <c r="I1128" s="83"/>
      <c r="J1128" s="92"/>
      <c r="K1128" s="82"/>
    </row>
    <row r="1129" spans="1:11" s="3" customFormat="1" ht="31.5" customHeight="1" x14ac:dyDescent="0.35">
      <c r="A1129" s="5"/>
      <c r="E1129" s="5"/>
      <c r="F1129" s="5"/>
      <c r="G1129" s="5"/>
      <c r="H1129" s="8"/>
      <c r="I1129" s="8"/>
      <c r="J1129" s="12"/>
      <c r="K1129" s="13"/>
    </row>
    <row r="1130" spans="1:11" s="3" customFormat="1" ht="33.75" customHeight="1" x14ac:dyDescent="0.35">
      <c r="A1130" s="5"/>
      <c r="D1130" s="84" t="s">
        <v>30</v>
      </c>
      <c r="E1130" s="84"/>
      <c r="F1130" s="84"/>
      <c r="G1130" s="84"/>
      <c r="H1130" s="84"/>
    </row>
    <row r="1131" spans="1:11" s="3" customFormat="1" ht="33.75" customHeight="1" x14ac:dyDescent="0.35">
      <c r="A1131" s="85" t="s">
        <v>31</v>
      </c>
      <c r="B1131" s="86"/>
      <c r="C1131" s="87"/>
      <c r="D1131" s="41" t="s">
        <v>44</v>
      </c>
      <c r="E1131" s="41" t="s">
        <v>45</v>
      </c>
      <c r="F1131" s="41" t="s">
        <v>46</v>
      </c>
      <c r="G1131" s="41" t="s">
        <v>47</v>
      </c>
      <c r="H1131" s="41" t="s">
        <v>48</v>
      </c>
      <c r="I1131" s="9"/>
      <c r="J1131" s="11" t="s">
        <v>51</v>
      </c>
      <c r="K1131" s="5"/>
    </row>
    <row r="1132" spans="1:11" s="3" customFormat="1" ht="33.75" customHeight="1" x14ac:dyDescent="0.35">
      <c r="A1132" s="88" t="s">
        <v>32</v>
      </c>
      <c r="B1132" s="88"/>
      <c r="C1132" s="88"/>
      <c r="D1132" s="45" t="s">
        <v>124</v>
      </c>
      <c r="E1132" s="7"/>
      <c r="F1132" s="7"/>
      <c r="G1132" s="7"/>
      <c r="H1132" s="7"/>
      <c r="I1132" s="9"/>
      <c r="J1132" s="5" t="s">
        <v>52</v>
      </c>
      <c r="K1132" s="5"/>
    </row>
    <row r="1133" spans="1:11" s="3" customFormat="1" ht="33.75" customHeight="1" x14ac:dyDescent="0.35">
      <c r="A1133" s="88" t="s">
        <v>33</v>
      </c>
      <c r="B1133" s="88"/>
      <c r="C1133" s="88"/>
      <c r="D1133" s="45" t="s">
        <v>124</v>
      </c>
      <c r="E1133" s="7"/>
      <c r="F1133" s="7"/>
      <c r="G1133" s="7"/>
      <c r="H1133" s="7"/>
      <c r="I1133" s="9"/>
      <c r="J1133" s="5" t="s">
        <v>53</v>
      </c>
      <c r="K1133" s="5"/>
    </row>
    <row r="1134" spans="1:11" s="3" customFormat="1" ht="33.75" customHeight="1" x14ac:dyDescent="0.35">
      <c r="A1134" s="88" t="s">
        <v>34</v>
      </c>
      <c r="B1134" s="88"/>
      <c r="C1134" s="88"/>
      <c r="D1134" s="45" t="s">
        <v>124</v>
      </c>
      <c r="E1134" s="7"/>
      <c r="F1134" s="7"/>
      <c r="G1134" s="7"/>
      <c r="H1134" s="7"/>
      <c r="I1134" s="9"/>
      <c r="J1134" s="5" t="s">
        <v>54</v>
      </c>
      <c r="K1134" s="5"/>
    </row>
    <row r="1135" spans="1:11" s="3" customFormat="1" ht="33.75" customHeight="1" x14ac:dyDescent="0.35">
      <c r="A1135" s="88" t="s">
        <v>35</v>
      </c>
      <c r="B1135" s="88"/>
      <c r="C1135" s="88"/>
      <c r="D1135" s="45" t="s">
        <v>124</v>
      </c>
      <c r="E1135" s="7"/>
      <c r="F1135" s="7"/>
      <c r="G1135" s="7"/>
      <c r="H1135" s="7"/>
      <c r="I1135" s="9"/>
      <c r="J1135" s="5" t="s">
        <v>55</v>
      </c>
      <c r="K1135" s="5"/>
    </row>
    <row r="1136" spans="1:11" s="3" customFormat="1" ht="33.75" customHeight="1" x14ac:dyDescent="0.35">
      <c r="A1136" s="88" t="s">
        <v>36</v>
      </c>
      <c r="B1136" s="88"/>
      <c r="C1136" s="88"/>
      <c r="D1136" s="45" t="s">
        <v>124</v>
      </c>
      <c r="E1136" s="7"/>
      <c r="F1136" s="7"/>
      <c r="G1136" s="7"/>
      <c r="H1136" s="7"/>
      <c r="I1136" s="9"/>
      <c r="J1136" s="5" t="s">
        <v>56</v>
      </c>
      <c r="K1136" s="5"/>
    </row>
    <row r="1137" spans="1:11" s="3" customFormat="1" ht="33.75" customHeight="1" x14ac:dyDescent="0.35">
      <c r="A1137" s="88" t="s">
        <v>37</v>
      </c>
      <c r="B1137" s="88"/>
      <c r="C1137" s="88"/>
      <c r="D1137" s="45"/>
      <c r="E1137" s="45" t="s">
        <v>124</v>
      </c>
      <c r="F1137" s="45"/>
      <c r="G1137" s="7"/>
      <c r="H1137" s="7"/>
      <c r="I1137" s="9"/>
      <c r="J1137" s="5" t="s">
        <v>57</v>
      </c>
      <c r="K1137" s="5"/>
    </row>
    <row r="1138" spans="1:11" s="3" customFormat="1" ht="33.75" customHeight="1" x14ac:dyDescent="0.35">
      <c r="A1138" s="88" t="s">
        <v>38</v>
      </c>
      <c r="B1138" s="88"/>
      <c r="C1138" s="88"/>
      <c r="D1138" s="45" t="s">
        <v>124</v>
      </c>
      <c r="E1138" s="7"/>
      <c r="F1138" s="7"/>
      <c r="G1138" s="7"/>
      <c r="H1138" s="7"/>
      <c r="I1138" s="9"/>
    </row>
    <row r="1139" spans="1:11" s="3" customFormat="1" ht="33.75" customHeight="1" x14ac:dyDescent="0.35">
      <c r="A1139" s="88" t="s">
        <v>39</v>
      </c>
      <c r="B1139" s="88"/>
      <c r="C1139" s="88"/>
      <c r="D1139" s="45" t="s">
        <v>124</v>
      </c>
      <c r="E1139" s="45"/>
      <c r="F1139" s="7"/>
      <c r="G1139" s="7"/>
      <c r="H1139" s="7"/>
      <c r="I1139" s="9"/>
    </row>
    <row r="1140" spans="1:11" s="3" customFormat="1" ht="33.75" customHeight="1" x14ac:dyDescent="0.35">
      <c r="A1140" s="88" t="s">
        <v>40</v>
      </c>
      <c r="B1140" s="88"/>
      <c r="C1140" s="88"/>
      <c r="D1140" s="45" t="s">
        <v>124</v>
      </c>
      <c r="E1140" s="45"/>
      <c r="F1140" s="7"/>
      <c r="G1140" s="7"/>
      <c r="H1140" s="7"/>
      <c r="I1140" s="9"/>
    </row>
    <row r="1141" spans="1:11" s="3" customFormat="1" ht="33.75" customHeight="1" x14ac:dyDescent="0.35">
      <c r="A1141" s="88" t="s">
        <v>41</v>
      </c>
      <c r="B1141" s="88"/>
      <c r="C1141" s="88"/>
      <c r="D1141" s="45" t="s">
        <v>124</v>
      </c>
      <c r="E1141" s="7"/>
      <c r="F1141" s="7"/>
      <c r="G1141" s="7"/>
      <c r="H1141" s="7"/>
      <c r="I1141" s="9"/>
    </row>
    <row r="1142" spans="1:11" s="3" customFormat="1" ht="33.75" customHeight="1" x14ac:dyDescent="0.35">
      <c r="A1142" s="88" t="s">
        <v>42</v>
      </c>
      <c r="B1142" s="88"/>
      <c r="C1142" s="88"/>
      <c r="D1142" s="45"/>
      <c r="E1142" s="45" t="s">
        <v>124</v>
      </c>
      <c r="F1142" s="7"/>
      <c r="G1142" s="7"/>
      <c r="H1142" s="7"/>
      <c r="I1142" s="9"/>
    </row>
    <row r="1143" spans="1:11" s="3" customFormat="1" ht="33.75" customHeight="1" x14ac:dyDescent="0.35">
      <c r="A1143" s="88" t="s">
        <v>43</v>
      </c>
      <c r="B1143" s="88"/>
      <c r="C1143" s="88"/>
      <c r="D1143" s="45" t="s">
        <v>124</v>
      </c>
      <c r="E1143" s="7"/>
      <c r="F1143" s="7"/>
      <c r="G1143" s="7"/>
      <c r="H1143" s="7"/>
      <c r="I1143" s="9"/>
    </row>
    <row r="1144" spans="1:11" ht="52.5" customHeight="1" x14ac:dyDescent="0.25"/>
    <row r="1145" spans="1:11" s="15" customFormat="1" ht="31.5" customHeight="1" x14ac:dyDescent="0.4">
      <c r="A1145" s="17" t="s">
        <v>78</v>
      </c>
      <c r="B1145" s="17"/>
      <c r="C1145" s="94" t="s">
        <v>128</v>
      </c>
      <c r="D1145" s="94"/>
      <c r="E1145" s="94"/>
      <c r="F1145" s="94"/>
      <c r="G1145" s="94"/>
      <c r="H1145" s="94"/>
      <c r="I1145" s="94"/>
      <c r="J1145" s="94"/>
      <c r="K1145" s="16"/>
    </row>
    <row r="1146" spans="1:11" s="15" customFormat="1" ht="42.75" customHeight="1" x14ac:dyDescent="0.4">
      <c r="A1146" s="17" t="s">
        <v>80</v>
      </c>
      <c r="B1146" s="17"/>
      <c r="C1146" s="95" t="s">
        <v>107</v>
      </c>
      <c r="D1146" s="95"/>
      <c r="E1146" s="95"/>
      <c r="F1146" s="95"/>
      <c r="G1146" s="95"/>
      <c r="H1146" s="95"/>
      <c r="I1146" s="16"/>
      <c r="J1146" s="16"/>
      <c r="K1146" s="16"/>
    </row>
    <row r="1147" spans="1:11" s="15" customFormat="1" ht="31.5" customHeight="1" x14ac:dyDescent="0.4">
      <c r="A1147" s="17"/>
      <c r="B1147" s="17"/>
      <c r="C1147" s="18"/>
      <c r="D1147" s="18"/>
      <c r="E1147" s="18"/>
      <c r="F1147" s="18"/>
      <c r="G1147" s="18"/>
      <c r="H1147" s="18"/>
      <c r="I1147" s="16"/>
      <c r="J1147" s="16"/>
      <c r="K1147" s="16"/>
    </row>
    <row r="1148" spans="1:11" s="15" customFormat="1" ht="31.5" customHeight="1" x14ac:dyDescent="0.4">
      <c r="A1148" s="17" t="s">
        <v>81</v>
      </c>
      <c r="B1148" s="17"/>
      <c r="C1148" s="94" t="s">
        <v>79</v>
      </c>
      <c r="D1148" s="94"/>
      <c r="E1148" s="94"/>
      <c r="F1148" s="94"/>
      <c r="G1148" s="94"/>
      <c r="H1148" s="94"/>
      <c r="I1148" s="94"/>
      <c r="J1148" s="94"/>
      <c r="K1148" s="16"/>
    </row>
    <row r="1149" spans="1:11" s="15" customFormat="1" ht="46.5" customHeight="1" x14ac:dyDescent="0.4">
      <c r="A1149" s="17" t="s">
        <v>80</v>
      </c>
      <c r="B1149" s="17"/>
      <c r="C1149" s="95" t="s">
        <v>107</v>
      </c>
      <c r="D1149" s="95"/>
      <c r="E1149" s="95"/>
      <c r="F1149" s="95"/>
      <c r="G1149" s="95"/>
      <c r="H1149" s="95"/>
      <c r="I1149" s="16"/>
      <c r="J1149" s="16"/>
      <c r="K1149" s="16"/>
    </row>
  </sheetData>
  <mergeCells count="917">
    <mergeCell ref="B13:K13"/>
    <mergeCell ref="B74:K74"/>
    <mergeCell ref="B135:K135"/>
    <mergeCell ref="B196:K196"/>
    <mergeCell ref="B257:K257"/>
    <mergeCell ref="B318:K318"/>
    <mergeCell ref="B379:K379"/>
    <mergeCell ref="B440:K440"/>
    <mergeCell ref="A1143:C1143"/>
    <mergeCell ref="A1131:C1131"/>
    <mergeCell ref="A1132:C1132"/>
    <mergeCell ref="A1133:C1133"/>
    <mergeCell ref="A1134:C1134"/>
    <mergeCell ref="A1135:C1135"/>
    <mergeCell ref="A1136:C1136"/>
    <mergeCell ref="F1127:G1127"/>
    <mergeCell ref="H1127:I1127"/>
    <mergeCell ref="J1127:J1128"/>
    <mergeCell ref="K1127:K1128"/>
    <mergeCell ref="H1128:I1128"/>
    <mergeCell ref="D1130:H1130"/>
    <mergeCell ref="B1104:C1104"/>
    <mergeCell ref="B1105:B1106"/>
    <mergeCell ref="C1105:C1106"/>
    <mergeCell ref="C1145:J1145"/>
    <mergeCell ref="C1146:H1146"/>
    <mergeCell ref="C1148:J1148"/>
    <mergeCell ref="C1149:H1149"/>
    <mergeCell ref="A1137:C1137"/>
    <mergeCell ref="A1138:C1138"/>
    <mergeCell ref="A1139:C1139"/>
    <mergeCell ref="A1140:C1140"/>
    <mergeCell ref="A1141:C1141"/>
    <mergeCell ref="A1142:C1142"/>
    <mergeCell ref="D1105:D1106"/>
    <mergeCell ref="E1105:E1106"/>
    <mergeCell ref="F1105:F1106"/>
    <mergeCell ref="J1098:K1098"/>
    <mergeCell ref="C1100:E1100"/>
    <mergeCell ref="H1100:K1100"/>
    <mergeCell ref="B1102:K1102"/>
    <mergeCell ref="B1103:E1103"/>
    <mergeCell ref="G1103:G1104"/>
    <mergeCell ref="H1103:H1105"/>
    <mergeCell ref="I1103:I1105"/>
    <mergeCell ref="J1103:J1105"/>
    <mergeCell ref="K1103:K1106"/>
    <mergeCell ref="A1092:K1092"/>
    <mergeCell ref="A1093:K1093"/>
    <mergeCell ref="A1094:K1094"/>
    <mergeCell ref="B1096:F1096"/>
    <mergeCell ref="J1096:K1096"/>
    <mergeCell ref="B1097:C1097"/>
    <mergeCell ref="E1097:H1097"/>
    <mergeCell ref="J1097:K1097"/>
    <mergeCell ref="A1083:C1083"/>
    <mergeCell ref="C1085:J1085"/>
    <mergeCell ref="C1086:H1086"/>
    <mergeCell ref="C1088:J1088"/>
    <mergeCell ref="C1089:H1089"/>
    <mergeCell ref="A1091:K1091"/>
    <mergeCell ref="A1077:C1077"/>
    <mergeCell ref="A1078:C1078"/>
    <mergeCell ref="A1079:C1079"/>
    <mergeCell ref="A1080:C1080"/>
    <mergeCell ref="A1081:C1081"/>
    <mergeCell ref="A1082:C1082"/>
    <mergeCell ref="A1071:C1071"/>
    <mergeCell ref="A1072:C1072"/>
    <mergeCell ref="A1073:C1073"/>
    <mergeCell ref="A1074:C1074"/>
    <mergeCell ref="A1075:C1075"/>
    <mergeCell ref="A1076:C1076"/>
    <mergeCell ref="F1067:G1067"/>
    <mergeCell ref="H1067:I1067"/>
    <mergeCell ref="J1067:J1068"/>
    <mergeCell ref="K1067:K1068"/>
    <mergeCell ref="H1068:I1068"/>
    <mergeCell ref="D1070:H1070"/>
    <mergeCell ref="B1044:C1044"/>
    <mergeCell ref="B1045:B1046"/>
    <mergeCell ref="C1045:C1046"/>
    <mergeCell ref="D1045:D1046"/>
    <mergeCell ref="E1045:E1046"/>
    <mergeCell ref="F1045:F1046"/>
    <mergeCell ref="J1038:K1038"/>
    <mergeCell ref="C1040:E1040"/>
    <mergeCell ref="H1040:K1040"/>
    <mergeCell ref="B1042:K1042"/>
    <mergeCell ref="B1043:E1043"/>
    <mergeCell ref="G1043:G1044"/>
    <mergeCell ref="H1043:H1045"/>
    <mergeCell ref="I1043:I1045"/>
    <mergeCell ref="J1043:J1045"/>
    <mergeCell ref="K1043:K1046"/>
    <mergeCell ref="A1033:K1033"/>
    <mergeCell ref="A1034:K1034"/>
    <mergeCell ref="B1036:F1036"/>
    <mergeCell ref="J1036:K1036"/>
    <mergeCell ref="B1037:C1037"/>
    <mergeCell ref="E1037:H1037"/>
    <mergeCell ref="J1037:K1037"/>
    <mergeCell ref="A1023:C1023"/>
    <mergeCell ref="C1025:J1025"/>
    <mergeCell ref="C1026:H1026"/>
    <mergeCell ref="C1029:H1029"/>
    <mergeCell ref="A1031:K1031"/>
    <mergeCell ref="A1032:K1032"/>
    <mergeCell ref="A1017:C1017"/>
    <mergeCell ref="A1018:C1018"/>
    <mergeCell ref="A1019:C1019"/>
    <mergeCell ref="A1020:C1020"/>
    <mergeCell ref="A1021:C1021"/>
    <mergeCell ref="A1022:C1022"/>
    <mergeCell ref="A1011:C1011"/>
    <mergeCell ref="A1012:C1012"/>
    <mergeCell ref="A1013:C1013"/>
    <mergeCell ref="A1014:C1014"/>
    <mergeCell ref="A1015:C1015"/>
    <mergeCell ref="A1016:C1016"/>
    <mergeCell ref="F1007:G1007"/>
    <mergeCell ref="H1007:I1007"/>
    <mergeCell ref="J1007:J1008"/>
    <mergeCell ref="K1007:K1008"/>
    <mergeCell ref="H1008:I1008"/>
    <mergeCell ref="D1010:H1010"/>
    <mergeCell ref="B984:C984"/>
    <mergeCell ref="B985:B986"/>
    <mergeCell ref="C985:C986"/>
    <mergeCell ref="D985:D986"/>
    <mergeCell ref="E985:E986"/>
    <mergeCell ref="F985:F986"/>
    <mergeCell ref="J978:K978"/>
    <mergeCell ref="C980:E980"/>
    <mergeCell ref="H980:K980"/>
    <mergeCell ref="B982:K982"/>
    <mergeCell ref="B983:E983"/>
    <mergeCell ref="G983:G984"/>
    <mergeCell ref="H983:H985"/>
    <mergeCell ref="I983:I985"/>
    <mergeCell ref="J983:J985"/>
    <mergeCell ref="K983:K986"/>
    <mergeCell ref="A972:K972"/>
    <mergeCell ref="A973:K973"/>
    <mergeCell ref="A974:K974"/>
    <mergeCell ref="B976:F976"/>
    <mergeCell ref="J976:K976"/>
    <mergeCell ref="B977:C977"/>
    <mergeCell ref="E977:H977"/>
    <mergeCell ref="J977:K977"/>
    <mergeCell ref="A963:C963"/>
    <mergeCell ref="C965:J965"/>
    <mergeCell ref="C966:H966"/>
    <mergeCell ref="C968:J968"/>
    <mergeCell ref="C969:H969"/>
    <mergeCell ref="A971:K971"/>
    <mergeCell ref="A957:C957"/>
    <mergeCell ref="A958:C958"/>
    <mergeCell ref="A959:C959"/>
    <mergeCell ref="A960:C960"/>
    <mergeCell ref="A961:C961"/>
    <mergeCell ref="A962:C962"/>
    <mergeCell ref="A951:C951"/>
    <mergeCell ref="A952:C952"/>
    <mergeCell ref="A953:C953"/>
    <mergeCell ref="A954:C954"/>
    <mergeCell ref="A955:C955"/>
    <mergeCell ref="A956:C956"/>
    <mergeCell ref="F947:G947"/>
    <mergeCell ref="H947:I947"/>
    <mergeCell ref="J947:J948"/>
    <mergeCell ref="K947:K948"/>
    <mergeCell ref="H948:I948"/>
    <mergeCell ref="D950:H950"/>
    <mergeCell ref="B924:C924"/>
    <mergeCell ref="B925:B926"/>
    <mergeCell ref="C925:C926"/>
    <mergeCell ref="D925:D926"/>
    <mergeCell ref="E925:E926"/>
    <mergeCell ref="F925:F926"/>
    <mergeCell ref="J918:K918"/>
    <mergeCell ref="C920:E920"/>
    <mergeCell ref="H920:K920"/>
    <mergeCell ref="B922:K922"/>
    <mergeCell ref="B923:E923"/>
    <mergeCell ref="G923:G924"/>
    <mergeCell ref="H923:H925"/>
    <mergeCell ref="I923:I925"/>
    <mergeCell ref="J923:J925"/>
    <mergeCell ref="K923:K926"/>
    <mergeCell ref="A913:K913"/>
    <mergeCell ref="A914:K914"/>
    <mergeCell ref="B916:F916"/>
    <mergeCell ref="J916:K916"/>
    <mergeCell ref="B917:C917"/>
    <mergeCell ref="E917:H917"/>
    <mergeCell ref="J917:K917"/>
    <mergeCell ref="A903:C903"/>
    <mergeCell ref="C905:J905"/>
    <mergeCell ref="C906:H906"/>
    <mergeCell ref="C909:H909"/>
    <mergeCell ref="A911:K911"/>
    <mergeCell ref="A912:K912"/>
    <mergeCell ref="A897:C897"/>
    <mergeCell ref="A898:C898"/>
    <mergeCell ref="A899:C899"/>
    <mergeCell ref="A900:C900"/>
    <mergeCell ref="A901:C901"/>
    <mergeCell ref="A902:C902"/>
    <mergeCell ref="A891:C891"/>
    <mergeCell ref="A892:C892"/>
    <mergeCell ref="A893:C893"/>
    <mergeCell ref="A894:C894"/>
    <mergeCell ref="A895:C895"/>
    <mergeCell ref="A896:C896"/>
    <mergeCell ref="F887:G887"/>
    <mergeCell ref="H887:I887"/>
    <mergeCell ref="J887:J888"/>
    <mergeCell ref="K887:K888"/>
    <mergeCell ref="H888:I888"/>
    <mergeCell ref="D890:H890"/>
    <mergeCell ref="B864:C864"/>
    <mergeCell ref="B865:B866"/>
    <mergeCell ref="C865:C866"/>
    <mergeCell ref="D865:D866"/>
    <mergeCell ref="E865:E866"/>
    <mergeCell ref="F865:F866"/>
    <mergeCell ref="J858:K858"/>
    <mergeCell ref="C860:E860"/>
    <mergeCell ref="H860:K860"/>
    <mergeCell ref="B862:K862"/>
    <mergeCell ref="B863:E863"/>
    <mergeCell ref="G863:G864"/>
    <mergeCell ref="H863:H865"/>
    <mergeCell ref="I863:I865"/>
    <mergeCell ref="J863:J865"/>
    <mergeCell ref="K863:K866"/>
    <mergeCell ref="A852:K852"/>
    <mergeCell ref="A853:K853"/>
    <mergeCell ref="A854:K854"/>
    <mergeCell ref="B856:F856"/>
    <mergeCell ref="J856:K856"/>
    <mergeCell ref="B857:C857"/>
    <mergeCell ref="E857:H857"/>
    <mergeCell ref="J857:K857"/>
    <mergeCell ref="A843:C843"/>
    <mergeCell ref="C845:J845"/>
    <mergeCell ref="C846:H846"/>
    <mergeCell ref="C848:J848"/>
    <mergeCell ref="C849:H849"/>
    <mergeCell ref="A851:K851"/>
    <mergeCell ref="A837:C837"/>
    <mergeCell ref="A838:C838"/>
    <mergeCell ref="A839:C839"/>
    <mergeCell ref="A840:C840"/>
    <mergeCell ref="A841:C841"/>
    <mergeCell ref="A842:C842"/>
    <mergeCell ref="A831:C831"/>
    <mergeCell ref="A832:C832"/>
    <mergeCell ref="A833:C833"/>
    <mergeCell ref="A834:C834"/>
    <mergeCell ref="A835:C835"/>
    <mergeCell ref="A836:C836"/>
    <mergeCell ref="F827:G827"/>
    <mergeCell ref="H827:I827"/>
    <mergeCell ref="J827:J828"/>
    <mergeCell ref="K827:K828"/>
    <mergeCell ref="H828:I828"/>
    <mergeCell ref="D830:H830"/>
    <mergeCell ref="B804:C804"/>
    <mergeCell ref="B805:B806"/>
    <mergeCell ref="C805:C806"/>
    <mergeCell ref="D805:D806"/>
    <mergeCell ref="E805:E806"/>
    <mergeCell ref="F805:F806"/>
    <mergeCell ref="J798:K798"/>
    <mergeCell ref="C800:E800"/>
    <mergeCell ref="H800:K800"/>
    <mergeCell ref="B802:K802"/>
    <mergeCell ref="B803:E803"/>
    <mergeCell ref="G803:G804"/>
    <mergeCell ref="H803:H805"/>
    <mergeCell ref="I803:I805"/>
    <mergeCell ref="J803:J805"/>
    <mergeCell ref="K803:K806"/>
    <mergeCell ref="A792:K792"/>
    <mergeCell ref="A793:K793"/>
    <mergeCell ref="A794:K794"/>
    <mergeCell ref="B796:F796"/>
    <mergeCell ref="J796:K796"/>
    <mergeCell ref="B797:C797"/>
    <mergeCell ref="E797:H797"/>
    <mergeCell ref="J797:K797"/>
    <mergeCell ref="A783:C783"/>
    <mergeCell ref="C785:J785"/>
    <mergeCell ref="C786:H786"/>
    <mergeCell ref="C788:J788"/>
    <mergeCell ref="C789:H789"/>
    <mergeCell ref="A791:K791"/>
    <mergeCell ref="A777:C777"/>
    <mergeCell ref="A778:C778"/>
    <mergeCell ref="A779:C779"/>
    <mergeCell ref="A780:C780"/>
    <mergeCell ref="A781:C781"/>
    <mergeCell ref="A782:C782"/>
    <mergeCell ref="A771:C771"/>
    <mergeCell ref="A772:C772"/>
    <mergeCell ref="A773:C773"/>
    <mergeCell ref="A774:C774"/>
    <mergeCell ref="A775:C775"/>
    <mergeCell ref="A776:C776"/>
    <mergeCell ref="F767:G767"/>
    <mergeCell ref="H767:I767"/>
    <mergeCell ref="J767:J768"/>
    <mergeCell ref="K767:K768"/>
    <mergeCell ref="H768:I768"/>
    <mergeCell ref="D770:H770"/>
    <mergeCell ref="B744:C744"/>
    <mergeCell ref="B745:B746"/>
    <mergeCell ref="C745:C746"/>
    <mergeCell ref="D745:D746"/>
    <mergeCell ref="E745:E746"/>
    <mergeCell ref="F745:F746"/>
    <mergeCell ref="J738:K738"/>
    <mergeCell ref="C740:E740"/>
    <mergeCell ref="H740:K740"/>
    <mergeCell ref="B742:K742"/>
    <mergeCell ref="B743:E743"/>
    <mergeCell ref="G743:G744"/>
    <mergeCell ref="H743:H745"/>
    <mergeCell ref="I743:I745"/>
    <mergeCell ref="J743:J745"/>
    <mergeCell ref="K743:K746"/>
    <mergeCell ref="A732:K732"/>
    <mergeCell ref="A733:K733"/>
    <mergeCell ref="A734:K734"/>
    <mergeCell ref="B736:F736"/>
    <mergeCell ref="J736:K736"/>
    <mergeCell ref="B737:C737"/>
    <mergeCell ref="E737:H737"/>
    <mergeCell ref="J737:K737"/>
    <mergeCell ref="A723:C723"/>
    <mergeCell ref="C725:J725"/>
    <mergeCell ref="C726:H726"/>
    <mergeCell ref="C728:J728"/>
    <mergeCell ref="C729:H729"/>
    <mergeCell ref="A731:K731"/>
    <mergeCell ref="A717:C717"/>
    <mergeCell ref="A718:C718"/>
    <mergeCell ref="A719:C719"/>
    <mergeCell ref="A720:C720"/>
    <mergeCell ref="A721:C721"/>
    <mergeCell ref="A722:C722"/>
    <mergeCell ref="A711:C711"/>
    <mergeCell ref="A712:C712"/>
    <mergeCell ref="A713:C713"/>
    <mergeCell ref="A714:C714"/>
    <mergeCell ref="A715:C715"/>
    <mergeCell ref="A716:C716"/>
    <mergeCell ref="F707:G707"/>
    <mergeCell ref="H707:I707"/>
    <mergeCell ref="J707:J708"/>
    <mergeCell ref="K707:K708"/>
    <mergeCell ref="H708:I708"/>
    <mergeCell ref="D710:H710"/>
    <mergeCell ref="B684:C684"/>
    <mergeCell ref="B685:B686"/>
    <mergeCell ref="C685:C686"/>
    <mergeCell ref="D685:D686"/>
    <mergeCell ref="E685:E686"/>
    <mergeCell ref="F685:F686"/>
    <mergeCell ref="J678:K678"/>
    <mergeCell ref="C680:E680"/>
    <mergeCell ref="H680:K680"/>
    <mergeCell ref="B682:K682"/>
    <mergeCell ref="B683:E683"/>
    <mergeCell ref="G683:G684"/>
    <mergeCell ref="H683:H685"/>
    <mergeCell ref="I683:I685"/>
    <mergeCell ref="J683:J685"/>
    <mergeCell ref="K683:K686"/>
    <mergeCell ref="A672:K672"/>
    <mergeCell ref="A673:K673"/>
    <mergeCell ref="A674:K674"/>
    <mergeCell ref="B676:F676"/>
    <mergeCell ref="J676:K676"/>
    <mergeCell ref="B677:C677"/>
    <mergeCell ref="E677:H677"/>
    <mergeCell ref="J677:K677"/>
    <mergeCell ref="A663:C663"/>
    <mergeCell ref="C665:J665"/>
    <mergeCell ref="C666:H666"/>
    <mergeCell ref="C668:J668"/>
    <mergeCell ref="C669:H669"/>
    <mergeCell ref="A671:K671"/>
    <mergeCell ref="A657:C657"/>
    <mergeCell ref="A658:C658"/>
    <mergeCell ref="A659:C659"/>
    <mergeCell ref="A660:C660"/>
    <mergeCell ref="A661:C661"/>
    <mergeCell ref="A662:C662"/>
    <mergeCell ref="A651:C651"/>
    <mergeCell ref="A652:C652"/>
    <mergeCell ref="A653:C653"/>
    <mergeCell ref="A654:C654"/>
    <mergeCell ref="A655:C655"/>
    <mergeCell ref="A656:C656"/>
    <mergeCell ref="F647:G647"/>
    <mergeCell ref="H647:I647"/>
    <mergeCell ref="J647:J648"/>
    <mergeCell ref="K647:K648"/>
    <mergeCell ref="H648:I648"/>
    <mergeCell ref="D650:H650"/>
    <mergeCell ref="B624:C624"/>
    <mergeCell ref="B625:B626"/>
    <mergeCell ref="C625:C626"/>
    <mergeCell ref="D625:D626"/>
    <mergeCell ref="E625:E626"/>
    <mergeCell ref="F625:F626"/>
    <mergeCell ref="J618:K618"/>
    <mergeCell ref="C620:E620"/>
    <mergeCell ref="H620:K620"/>
    <mergeCell ref="B622:K622"/>
    <mergeCell ref="B623:E623"/>
    <mergeCell ref="G623:G624"/>
    <mergeCell ref="H623:H625"/>
    <mergeCell ref="I623:I625"/>
    <mergeCell ref="J623:J625"/>
    <mergeCell ref="K623:K626"/>
    <mergeCell ref="A612:K612"/>
    <mergeCell ref="A613:K613"/>
    <mergeCell ref="A614:K614"/>
    <mergeCell ref="B616:F616"/>
    <mergeCell ref="J616:K616"/>
    <mergeCell ref="B617:C617"/>
    <mergeCell ref="E617:H617"/>
    <mergeCell ref="J617:K617"/>
    <mergeCell ref="A603:C603"/>
    <mergeCell ref="C605:J605"/>
    <mergeCell ref="C606:H606"/>
    <mergeCell ref="C608:J608"/>
    <mergeCell ref="C609:H609"/>
    <mergeCell ref="A611:K611"/>
    <mergeCell ref="A597:C597"/>
    <mergeCell ref="A598:C598"/>
    <mergeCell ref="A599:C599"/>
    <mergeCell ref="A600:C600"/>
    <mergeCell ref="A601:C601"/>
    <mergeCell ref="A602:C602"/>
    <mergeCell ref="A591:C591"/>
    <mergeCell ref="A592:C592"/>
    <mergeCell ref="A593:C593"/>
    <mergeCell ref="A594:C594"/>
    <mergeCell ref="A595:C595"/>
    <mergeCell ref="A596:C596"/>
    <mergeCell ref="F587:G587"/>
    <mergeCell ref="H587:I587"/>
    <mergeCell ref="J587:J588"/>
    <mergeCell ref="K587:K588"/>
    <mergeCell ref="H588:I588"/>
    <mergeCell ref="D590:H590"/>
    <mergeCell ref="B564:C564"/>
    <mergeCell ref="B565:B566"/>
    <mergeCell ref="C565:C566"/>
    <mergeCell ref="D565:D566"/>
    <mergeCell ref="E565:E566"/>
    <mergeCell ref="F565:F566"/>
    <mergeCell ref="J558:K558"/>
    <mergeCell ref="C560:E560"/>
    <mergeCell ref="H560:K560"/>
    <mergeCell ref="B562:K562"/>
    <mergeCell ref="B563:E563"/>
    <mergeCell ref="G563:G564"/>
    <mergeCell ref="H563:H565"/>
    <mergeCell ref="I563:I565"/>
    <mergeCell ref="J563:J565"/>
    <mergeCell ref="K563:K566"/>
    <mergeCell ref="A553:K553"/>
    <mergeCell ref="A554:K554"/>
    <mergeCell ref="B556:F556"/>
    <mergeCell ref="J556:K556"/>
    <mergeCell ref="B557:C557"/>
    <mergeCell ref="E557:H557"/>
    <mergeCell ref="J557:K557"/>
    <mergeCell ref="A543:C543"/>
    <mergeCell ref="C545:J545"/>
    <mergeCell ref="C546:H546"/>
    <mergeCell ref="C549:H549"/>
    <mergeCell ref="A551:K551"/>
    <mergeCell ref="A552:K552"/>
    <mergeCell ref="A537:C537"/>
    <mergeCell ref="A538:C538"/>
    <mergeCell ref="A539:C539"/>
    <mergeCell ref="A540:C540"/>
    <mergeCell ref="A541:C541"/>
    <mergeCell ref="A542:C542"/>
    <mergeCell ref="A531:C531"/>
    <mergeCell ref="A532:C532"/>
    <mergeCell ref="A533:C533"/>
    <mergeCell ref="A534:C534"/>
    <mergeCell ref="A535:C535"/>
    <mergeCell ref="A536:C536"/>
    <mergeCell ref="F527:G527"/>
    <mergeCell ref="H527:I527"/>
    <mergeCell ref="J527:J528"/>
    <mergeCell ref="K527:K528"/>
    <mergeCell ref="H528:I528"/>
    <mergeCell ref="D530:H530"/>
    <mergeCell ref="B504:C504"/>
    <mergeCell ref="B505:B506"/>
    <mergeCell ref="C505:C506"/>
    <mergeCell ref="D505:D506"/>
    <mergeCell ref="E505:E506"/>
    <mergeCell ref="F505:F506"/>
    <mergeCell ref="J497:K497"/>
    <mergeCell ref="C499:E499"/>
    <mergeCell ref="H499:K499"/>
    <mergeCell ref="B502:K502"/>
    <mergeCell ref="B503:E503"/>
    <mergeCell ref="G503:G504"/>
    <mergeCell ref="H503:H505"/>
    <mergeCell ref="I503:I505"/>
    <mergeCell ref="J503:J505"/>
    <mergeCell ref="K503:K506"/>
    <mergeCell ref="B501:K501"/>
    <mergeCell ref="A491:K491"/>
    <mergeCell ref="A492:K492"/>
    <mergeCell ref="A493:K493"/>
    <mergeCell ref="B495:F495"/>
    <mergeCell ref="J495:K495"/>
    <mergeCell ref="B496:C496"/>
    <mergeCell ref="E496:H496"/>
    <mergeCell ref="J496:K496"/>
    <mergeCell ref="A482:C482"/>
    <mergeCell ref="C484:J484"/>
    <mergeCell ref="C485:H485"/>
    <mergeCell ref="C487:J487"/>
    <mergeCell ref="C488:H488"/>
    <mergeCell ref="A490:K490"/>
    <mergeCell ref="A476:C476"/>
    <mergeCell ref="A477:C477"/>
    <mergeCell ref="A478:C478"/>
    <mergeCell ref="A479:C479"/>
    <mergeCell ref="A480:C480"/>
    <mergeCell ref="A481:C481"/>
    <mergeCell ref="A470:C470"/>
    <mergeCell ref="A471:C471"/>
    <mergeCell ref="A472:C472"/>
    <mergeCell ref="A473:C473"/>
    <mergeCell ref="A474:C474"/>
    <mergeCell ref="A475:C475"/>
    <mergeCell ref="F466:G466"/>
    <mergeCell ref="H466:I466"/>
    <mergeCell ref="J466:J467"/>
    <mergeCell ref="K466:K467"/>
    <mergeCell ref="H467:I467"/>
    <mergeCell ref="D469:H469"/>
    <mergeCell ref="B443:C443"/>
    <mergeCell ref="B444:B445"/>
    <mergeCell ref="C444:C445"/>
    <mergeCell ref="D444:D445"/>
    <mergeCell ref="E444:E445"/>
    <mergeCell ref="F444:F445"/>
    <mergeCell ref="J436:K436"/>
    <mergeCell ref="C438:E438"/>
    <mergeCell ref="H438:K438"/>
    <mergeCell ref="B441:K441"/>
    <mergeCell ref="B442:E442"/>
    <mergeCell ref="G442:G443"/>
    <mergeCell ref="H442:H444"/>
    <mergeCell ref="I442:I444"/>
    <mergeCell ref="J442:J444"/>
    <mergeCell ref="K442:K445"/>
    <mergeCell ref="A430:K430"/>
    <mergeCell ref="A431:K431"/>
    <mergeCell ref="A432:K432"/>
    <mergeCell ref="B434:F434"/>
    <mergeCell ref="J434:K434"/>
    <mergeCell ref="B435:C435"/>
    <mergeCell ref="E435:H435"/>
    <mergeCell ref="J435:K435"/>
    <mergeCell ref="A421:C421"/>
    <mergeCell ref="C423:J423"/>
    <mergeCell ref="C424:H424"/>
    <mergeCell ref="C426:J426"/>
    <mergeCell ref="C427:H427"/>
    <mergeCell ref="A429:K429"/>
    <mergeCell ref="A415:C415"/>
    <mergeCell ref="A416:C416"/>
    <mergeCell ref="A417:C417"/>
    <mergeCell ref="A418:C418"/>
    <mergeCell ref="A419:C419"/>
    <mergeCell ref="A420:C420"/>
    <mergeCell ref="A409:C409"/>
    <mergeCell ref="A410:C410"/>
    <mergeCell ref="A411:C411"/>
    <mergeCell ref="A412:C412"/>
    <mergeCell ref="A413:C413"/>
    <mergeCell ref="A414:C414"/>
    <mergeCell ref="F405:G405"/>
    <mergeCell ref="H405:I405"/>
    <mergeCell ref="J405:J406"/>
    <mergeCell ref="K405:K406"/>
    <mergeCell ref="H406:I406"/>
    <mergeCell ref="D408:H408"/>
    <mergeCell ref="B382:C382"/>
    <mergeCell ref="B383:B384"/>
    <mergeCell ref="C383:C384"/>
    <mergeCell ref="D383:D384"/>
    <mergeCell ref="E383:E384"/>
    <mergeCell ref="F383:F384"/>
    <mergeCell ref="J375:K375"/>
    <mergeCell ref="C377:E377"/>
    <mergeCell ref="H377:K377"/>
    <mergeCell ref="B380:K380"/>
    <mergeCell ref="B381:E381"/>
    <mergeCell ref="G381:G382"/>
    <mergeCell ref="H381:H383"/>
    <mergeCell ref="I381:I383"/>
    <mergeCell ref="J381:J383"/>
    <mergeCell ref="K381:K384"/>
    <mergeCell ref="A370:K370"/>
    <mergeCell ref="A371:K371"/>
    <mergeCell ref="B373:F373"/>
    <mergeCell ref="J373:K373"/>
    <mergeCell ref="B374:C374"/>
    <mergeCell ref="E374:H374"/>
    <mergeCell ref="J374:K374"/>
    <mergeCell ref="A360:C360"/>
    <mergeCell ref="C362:J362"/>
    <mergeCell ref="C363:H363"/>
    <mergeCell ref="C366:H366"/>
    <mergeCell ref="A368:K368"/>
    <mergeCell ref="A369:K369"/>
    <mergeCell ref="A354:C354"/>
    <mergeCell ref="A355:C355"/>
    <mergeCell ref="A356:C356"/>
    <mergeCell ref="A357:C357"/>
    <mergeCell ref="A358:C358"/>
    <mergeCell ref="A359:C359"/>
    <mergeCell ref="A348:C348"/>
    <mergeCell ref="A349:C349"/>
    <mergeCell ref="A350:C350"/>
    <mergeCell ref="A351:C351"/>
    <mergeCell ref="A352:C352"/>
    <mergeCell ref="A353:C353"/>
    <mergeCell ref="F344:G344"/>
    <mergeCell ref="H344:I344"/>
    <mergeCell ref="J344:J345"/>
    <mergeCell ref="K344:K345"/>
    <mergeCell ref="H345:I345"/>
    <mergeCell ref="D347:H347"/>
    <mergeCell ref="B321:C321"/>
    <mergeCell ref="B322:B323"/>
    <mergeCell ref="C322:C323"/>
    <mergeCell ref="D322:D323"/>
    <mergeCell ref="E322:E323"/>
    <mergeCell ref="F322:F323"/>
    <mergeCell ref="J314:K314"/>
    <mergeCell ref="C316:E316"/>
    <mergeCell ref="H316:K316"/>
    <mergeCell ref="B319:K319"/>
    <mergeCell ref="B320:E320"/>
    <mergeCell ref="G320:G321"/>
    <mergeCell ref="H320:H322"/>
    <mergeCell ref="I320:I322"/>
    <mergeCell ref="J320:J322"/>
    <mergeCell ref="K320:K323"/>
    <mergeCell ref="A308:K308"/>
    <mergeCell ref="A309:K309"/>
    <mergeCell ref="A310:K310"/>
    <mergeCell ref="B312:F312"/>
    <mergeCell ref="J312:K312"/>
    <mergeCell ref="B313:C313"/>
    <mergeCell ref="E313:H313"/>
    <mergeCell ref="J313:K313"/>
    <mergeCell ref="A299:C299"/>
    <mergeCell ref="C301:J301"/>
    <mergeCell ref="C302:H302"/>
    <mergeCell ref="C304:J304"/>
    <mergeCell ref="C305:H305"/>
    <mergeCell ref="A307:K307"/>
    <mergeCell ref="A293:C293"/>
    <mergeCell ref="A294:C294"/>
    <mergeCell ref="A295:C295"/>
    <mergeCell ref="A296:C296"/>
    <mergeCell ref="A297:C297"/>
    <mergeCell ref="A298:C298"/>
    <mergeCell ref="A287:C287"/>
    <mergeCell ref="A288:C288"/>
    <mergeCell ref="A289:C289"/>
    <mergeCell ref="A290:C290"/>
    <mergeCell ref="A291:C291"/>
    <mergeCell ref="A292:C292"/>
    <mergeCell ref="F283:G283"/>
    <mergeCell ref="H283:I283"/>
    <mergeCell ref="J283:J284"/>
    <mergeCell ref="K283:K284"/>
    <mergeCell ref="H284:I284"/>
    <mergeCell ref="D286:H286"/>
    <mergeCell ref="B260:C260"/>
    <mergeCell ref="B261:B262"/>
    <mergeCell ref="C261:C262"/>
    <mergeCell ref="D261:D262"/>
    <mergeCell ref="E261:E262"/>
    <mergeCell ref="F261:F262"/>
    <mergeCell ref="J253:K253"/>
    <mergeCell ref="C255:E255"/>
    <mergeCell ref="H255:K255"/>
    <mergeCell ref="B258:K258"/>
    <mergeCell ref="B259:E259"/>
    <mergeCell ref="G259:G260"/>
    <mergeCell ref="H259:H261"/>
    <mergeCell ref="I259:I261"/>
    <mergeCell ref="J259:J261"/>
    <mergeCell ref="K259:K262"/>
    <mergeCell ref="A247:K247"/>
    <mergeCell ref="A248:K248"/>
    <mergeCell ref="A249:K249"/>
    <mergeCell ref="B251:F251"/>
    <mergeCell ref="J251:K251"/>
    <mergeCell ref="B252:C252"/>
    <mergeCell ref="E252:H252"/>
    <mergeCell ref="J252:K252"/>
    <mergeCell ref="A238:C238"/>
    <mergeCell ref="C240:J240"/>
    <mergeCell ref="C241:H241"/>
    <mergeCell ref="C243:J243"/>
    <mergeCell ref="C244:H244"/>
    <mergeCell ref="A246:K246"/>
    <mergeCell ref="A232:C232"/>
    <mergeCell ref="A233:C233"/>
    <mergeCell ref="A234:C234"/>
    <mergeCell ref="A235:C235"/>
    <mergeCell ref="A236:C236"/>
    <mergeCell ref="A237:C237"/>
    <mergeCell ref="A226:C226"/>
    <mergeCell ref="A227:C227"/>
    <mergeCell ref="A228:C228"/>
    <mergeCell ref="A229:C229"/>
    <mergeCell ref="A230:C230"/>
    <mergeCell ref="A231:C231"/>
    <mergeCell ref="F222:G222"/>
    <mergeCell ref="H222:I222"/>
    <mergeCell ref="J222:J223"/>
    <mergeCell ref="K222:K223"/>
    <mergeCell ref="H223:I223"/>
    <mergeCell ref="D225:H225"/>
    <mergeCell ref="B199:C199"/>
    <mergeCell ref="B200:B201"/>
    <mergeCell ref="C200:C201"/>
    <mergeCell ref="D200:D201"/>
    <mergeCell ref="E200:E201"/>
    <mergeCell ref="F200:F201"/>
    <mergeCell ref="J192:K192"/>
    <mergeCell ref="C194:E194"/>
    <mergeCell ref="H194:K194"/>
    <mergeCell ref="B197:K197"/>
    <mergeCell ref="B198:E198"/>
    <mergeCell ref="G198:G199"/>
    <mergeCell ref="H198:H200"/>
    <mergeCell ref="I198:I200"/>
    <mergeCell ref="J198:J200"/>
    <mergeCell ref="K198:K201"/>
    <mergeCell ref="A186:K186"/>
    <mergeCell ref="A187:K187"/>
    <mergeCell ref="A188:K188"/>
    <mergeCell ref="B190:F190"/>
    <mergeCell ref="J190:K190"/>
    <mergeCell ref="B191:C191"/>
    <mergeCell ref="E191:H191"/>
    <mergeCell ref="J191:K191"/>
    <mergeCell ref="A177:C177"/>
    <mergeCell ref="C179:J179"/>
    <mergeCell ref="C180:H180"/>
    <mergeCell ref="C182:K182"/>
    <mergeCell ref="C183:H183"/>
    <mergeCell ref="A185:K185"/>
    <mergeCell ref="A171:C171"/>
    <mergeCell ref="A172:C172"/>
    <mergeCell ref="A173:C173"/>
    <mergeCell ref="A174:C174"/>
    <mergeCell ref="A175:C175"/>
    <mergeCell ref="A176:C176"/>
    <mergeCell ref="A165:C165"/>
    <mergeCell ref="A166:C166"/>
    <mergeCell ref="A167:C167"/>
    <mergeCell ref="A168:C168"/>
    <mergeCell ref="A169:C169"/>
    <mergeCell ref="A170:C170"/>
    <mergeCell ref="F161:G161"/>
    <mergeCell ref="H161:I161"/>
    <mergeCell ref="J161:J162"/>
    <mergeCell ref="K161:K162"/>
    <mergeCell ref="H162:I162"/>
    <mergeCell ref="D164:H164"/>
    <mergeCell ref="B138:C138"/>
    <mergeCell ref="B139:B140"/>
    <mergeCell ref="C139:C140"/>
    <mergeCell ref="D139:D140"/>
    <mergeCell ref="E139:E140"/>
    <mergeCell ref="F139:F140"/>
    <mergeCell ref="J131:K131"/>
    <mergeCell ref="C133:E133"/>
    <mergeCell ref="H133:K133"/>
    <mergeCell ref="B136:K136"/>
    <mergeCell ref="B137:E137"/>
    <mergeCell ref="G137:G138"/>
    <mergeCell ref="H137:H139"/>
    <mergeCell ref="I137:I139"/>
    <mergeCell ref="J137:J139"/>
    <mergeCell ref="K137:K140"/>
    <mergeCell ref="A126:K126"/>
    <mergeCell ref="A127:K127"/>
    <mergeCell ref="B129:F129"/>
    <mergeCell ref="J129:K129"/>
    <mergeCell ref="B130:C130"/>
    <mergeCell ref="E130:H130"/>
    <mergeCell ref="J130:K130"/>
    <mergeCell ref="C118:J118"/>
    <mergeCell ref="C119:H119"/>
    <mergeCell ref="C121:J121"/>
    <mergeCell ref="C122:H122"/>
    <mergeCell ref="A124:K124"/>
    <mergeCell ref="A125:K125"/>
    <mergeCell ref="A111:C111"/>
    <mergeCell ref="A112:C112"/>
    <mergeCell ref="A113:C113"/>
    <mergeCell ref="A114:C114"/>
    <mergeCell ref="A115:C115"/>
    <mergeCell ref="A116:C116"/>
    <mergeCell ref="A105:C105"/>
    <mergeCell ref="A106:C106"/>
    <mergeCell ref="A107:C107"/>
    <mergeCell ref="A108:C108"/>
    <mergeCell ref="A109:C109"/>
    <mergeCell ref="A110:C110"/>
    <mergeCell ref="H100:I100"/>
    <mergeCell ref="J100:J101"/>
    <mergeCell ref="K100:K101"/>
    <mergeCell ref="H101:I101"/>
    <mergeCell ref="D103:H103"/>
    <mergeCell ref="A104:C104"/>
    <mergeCell ref="B78:B79"/>
    <mergeCell ref="C78:C79"/>
    <mergeCell ref="D78:D79"/>
    <mergeCell ref="E78:E79"/>
    <mergeCell ref="F78:F79"/>
    <mergeCell ref="F100:G100"/>
    <mergeCell ref="C72:E72"/>
    <mergeCell ref="H72:K72"/>
    <mergeCell ref="B75:K75"/>
    <mergeCell ref="B76:E76"/>
    <mergeCell ref="G76:G77"/>
    <mergeCell ref="H76:H78"/>
    <mergeCell ref="I76:I78"/>
    <mergeCell ref="J76:J78"/>
    <mergeCell ref="K76:K79"/>
    <mergeCell ref="B77:C77"/>
    <mergeCell ref="B68:F68"/>
    <mergeCell ref="J68:K68"/>
    <mergeCell ref="B69:C69"/>
    <mergeCell ref="E69:H69"/>
    <mergeCell ref="J69:K69"/>
    <mergeCell ref="J70:K70"/>
    <mergeCell ref="C60:J60"/>
    <mergeCell ref="C61:H61"/>
    <mergeCell ref="A63:K63"/>
    <mergeCell ref="A64:K64"/>
    <mergeCell ref="A65:K65"/>
    <mergeCell ref="A66:K66"/>
    <mergeCell ref="A52:C52"/>
    <mergeCell ref="A53:C53"/>
    <mergeCell ref="A54:C54"/>
    <mergeCell ref="A55:C55"/>
    <mergeCell ref="C57:J57"/>
    <mergeCell ref="C58:H58"/>
    <mergeCell ref="A46:C46"/>
    <mergeCell ref="A47:C47"/>
    <mergeCell ref="A48:C48"/>
    <mergeCell ref="A49:C49"/>
    <mergeCell ref="A50:C50"/>
    <mergeCell ref="A51:C51"/>
    <mergeCell ref="K39:K40"/>
    <mergeCell ref="H40:I40"/>
    <mergeCell ref="D42:H42"/>
    <mergeCell ref="A43:C43"/>
    <mergeCell ref="A44:C44"/>
    <mergeCell ref="A45:C45"/>
    <mergeCell ref="D17:D18"/>
    <mergeCell ref="E17:E18"/>
    <mergeCell ref="F17:F18"/>
    <mergeCell ref="F39:G40"/>
    <mergeCell ref="H39:I39"/>
    <mergeCell ref="J39:J40"/>
    <mergeCell ref="B14:K14"/>
    <mergeCell ref="B15:E15"/>
    <mergeCell ref="G15:G16"/>
    <mergeCell ref="H15:H17"/>
    <mergeCell ref="I15:I17"/>
    <mergeCell ref="J15:J17"/>
    <mergeCell ref="K15:K18"/>
    <mergeCell ref="B16:C16"/>
    <mergeCell ref="B17:B18"/>
    <mergeCell ref="C17:C18"/>
    <mergeCell ref="B8:C8"/>
    <mergeCell ref="E8:H8"/>
    <mergeCell ref="J8:K8"/>
    <mergeCell ref="J9:K9"/>
    <mergeCell ref="C11:E11"/>
    <mergeCell ref="H11:K11"/>
    <mergeCell ref="A2:K2"/>
    <mergeCell ref="A3:K3"/>
    <mergeCell ref="A4:K4"/>
    <mergeCell ref="A5:K5"/>
    <mergeCell ref="B7:F7"/>
    <mergeCell ref="J7:K7"/>
  </mergeCells>
  <printOptions horizontalCentered="1" verticalCentered="1"/>
  <pageMargins left="0" right="0" top="0" bottom="0" header="0" footer="0"/>
  <pageSetup paperSize="9" scale="37" orientation="portrait" r:id="rId1"/>
  <rowBreaks count="1" manualBreakCount="1">
    <brk id="61" max="10" man="1"/>
  </rowBreaks>
  <colBreaks count="1" manualBreakCount="1">
    <brk id="11" max="115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First Term</vt:lpstr>
      <vt:lpstr>'First Term'!Print_Area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Mech. Eng. Dept. Adm</dc:creator>
  <cp:lastModifiedBy>hp</cp:lastModifiedBy>
  <cp:lastPrinted>2025-03-25T14:03:20Z</cp:lastPrinted>
  <dcterms:created xsi:type="dcterms:W3CDTF">2024-10-18T20:53:29Z</dcterms:created>
  <dcterms:modified xsi:type="dcterms:W3CDTF">2025-03-25T15:48:24Z</dcterms:modified>
</cp:coreProperties>
</file>